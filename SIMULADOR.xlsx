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/>
  <mc:AlternateContent xmlns:mc="http://schemas.openxmlformats.org/markup-compatibility/2006">
    <mc:Choice Requires="x15">
      <x15ac:absPath xmlns:x15ac="http://schemas.microsoft.com/office/spreadsheetml/2010/11/ac" url="C:\Users\fabricio.faustino\Desktop\PROJETOS\"/>
    </mc:Choice>
  </mc:AlternateContent>
  <xr:revisionPtr revIDLastSave="0" documentId="13_ncr:1_{64FC4CB1-2350-461B-A719-4DA07A4BF2FB}" xr6:coauthVersionLast="47" xr6:coauthVersionMax="47" xr10:uidLastSave="{00000000-0000-0000-0000-000000000000}"/>
  <bookViews>
    <workbookView xWindow="-38520" yWindow="-120" windowWidth="38640" windowHeight="15720" xr2:uid="{00000000-000D-0000-FFFF-FFFF00000000}"/>
  </bookViews>
  <sheets>
    <sheet name="Plan1" sheetId="1" r:id="rId1"/>
    <sheet name="BASE" sheetId="2" r:id="rId2"/>
  </sheets>
  <externalReferences>
    <externalReference r:id="rId3"/>
  </externalReference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2" i="1" l="1"/>
  <c r="D3" i="1"/>
  <c r="D4" i="1"/>
  <c r="D5" i="1"/>
  <c r="D6" i="1"/>
  <c r="D7" i="1"/>
  <c r="D8" i="1"/>
  <c r="D9" i="1"/>
  <c r="L2" i="1"/>
  <c r="L3" i="1"/>
  <c r="L4" i="1"/>
  <c r="L5" i="1"/>
  <c r="M5" i="1" s="1"/>
  <c r="L6" i="1"/>
  <c r="L7" i="1"/>
  <c r="M7" i="1" s="1"/>
  <c r="L8" i="1"/>
  <c r="L9" i="1"/>
  <c r="M9" i="1" s="1"/>
  <c r="G9" i="1"/>
  <c r="G8" i="1"/>
  <c r="O8" i="1" s="1"/>
  <c r="G7" i="1"/>
  <c r="G6" i="1"/>
  <c r="G3" i="1"/>
  <c r="G4" i="1"/>
  <c r="G5" i="1"/>
  <c r="G2" i="1"/>
  <c r="O6" i="1" l="1"/>
  <c r="O9" i="1"/>
  <c r="O7" i="1"/>
  <c r="N4" i="1"/>
  <c r="N6" i="1"/>
  <c r="O5" i="1"/>
  <c r="N8" i="1"/>
  <c r="O4" i="1"/>
  <c r="O3" i="1"/>
  <c r="N3" i="1"/>
  <c r="O2" i="1"/>
  <c r="N2" i="1"/>
  <c r="N9" i="1"/>
  <c r="M8" i="1"/>
  <c r="N7" i="1"/>
  <c r="M2" i="1"/>
  <c r="M6" i="1"/>
  <c r="N5" i="1"/>
  <c r="M3" i="1"/>
  <c r="M4" i="1"/>
</calcChain>
</file>

<file path=xl/sharedStrings.xml><?xml version="1.0" encoding="utf-8"?>
<sst xmlns="http://schemas.openxmlformats.org/spreadsheetml/2006/main" count="41" uniqueCount="29">
  <si>
    <t>Rota</t>
  </si>
  <si>
    <t>Entregas</t>
  </si>
  <si>
    <t>Peso Bruto</t>
  </si>
  <si>
    <t>Peso Liquido</t>
  </si>
  <si>
    <t>Distância</t>
  </si>
  <si>
    <t>Equipamento</t>
  </si>
  <si>
    <t>Capacidade</t>
  </si>
  <si>
    <t>Valor NF</t>
  </si>
  <si>
    <t>Diaria</t>
  </si>
  <si>
    <t>Custo Km</t>
  </si>
  <si>
    <t>Custo Saida</t>
  </si>
  <si>
    <t>Custo Total2</t>
  </si>
  <si>
    <t>Valor Frete Nf</t>
  </si>
  <si>
    <t>Frete/Kg</t>
  </si>
  <si>
    <t>Ocupação</t>
  </si>
  <si>
    <t>3/4</t>
  </si>
  <si>
    <t>ROTA 1</t>
  </si>
  <si>
    <t>ROTA 2</t>
  </si>
  <si>
    <t>ROTA 3</t>
  </si>
  <si>
    <t>ROTA 4</t>
  </si>
  <si>
    <t>FIORINO</t>
  </si>
  <si>
    <t>SEMI-LEVE</t>
  </si>
  <si>
    <t>SUPER 3/4</t>
  </si>
  <si>
    <t>TOCO</t>
  </si>
  <si>
    <t>TRUCK</t>
  </si>
  <si>
    <t>BI-TRUCK</t>
  </si>
  <si>
    <t>VUC</t>
  </si>
  <si>
    <t>Tipologia</t>
  </si>
  <si>
    <t>Peso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</si>
</sst>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-&quot;R$&quot;\ * #,##0.00_-;\-&quot;R$&quot;\ * #,##0.00_-;_-&quot;R$&quot;\ * &quot;-&quot;??_-;_-@_-"/>
    <numFmt numFmtId="164" formatCode="0.0%"/>
  </numFmts>
  <fonts count="6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8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color theme="1"/>
      <name val="Calibri"/>
      <family val="2"/>
      <charset val="134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/>
        <bgColor theme="4"/>
      </patternFill>
    </fill>
    <fill>
      <patternFill patternType="solid">
        <fgColor theme="4" tint="0.79998168889431442"/>
        <bgColor theme="4" tint="0.79998168889431442"/>
      </patternFill>
    </fill>
  </fills>
  <borders count="6">
    <border>
      <left/>
      <right/>
      <top/>
      <bottom/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/>
      <right style="thin">
        <color theme="4" tint="0.39997558519241921"/>
      </right>
      <top style="thin">
        <color theme="4" tint="0.39997558519241921"/>
      </top>
      <bottom style="thin">
        <color theme="4" tint="0.39997558519241921"/>
      </bottom>
      <diagonal/>
    </border>
    <border>
      <left/>
      <right/>
      <top/>
      <bottom style="thin">
        <color theme="4" tint="0.39997558519241921"/>
      </bottom>
      <diagonal/>
    </border>
    <border>
      <left/>
      <right/>
      <top style="thin">
        <color theme="4" tint="0.39997558519241921"/>
      </top>
      <bottom/>
      <diagonal/>
    </border>
    <border>
      <left/>
      <right/>
      <top style="thin">
        <color theme="4" tint="0.39991454817346722"/>
      </top>
      <bottom style="thin">
        <color theme="4" tint="0.39991454817346722"/>
      </bottom>
      <diagonal/>
    </border>
  </borders>
  <cellStyleXfs count="3">
    <xf numFmtId="0" fontId="0" fillId="0" borderId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39">
    <xf numFmtId="0" fontId="0" fillId="0" borderId="0" xfId="0"/>
    <xf numFmtId="0" fontId="0" fillId="3" borderId="1" xfId="0" applyFill="1" applyBorder="1" applyAlignment="1">
      <alignment horizontal="center" vertical="center"/>
    </xf>
    <xf numFmtId="2" fontId="0" fillId="3" borderId="1" xfId="0" applyNumberFormat="1" applyFill="1" applyBorder="1" applyAlignment="1">
      <alignment horizontal="center" vertical="center"/>
    </xf>
    <xf numFmtId="4" fontId="0" fillId="3" borderId="1" xfId="0" applyNumberFormat="1" applyFill="1" applyBorder="1" applyAlignment="1">
      <alignment horizontal="center" vertical="center"/>
    </xf>
    <xf numFmtId="44" fontId="0" fillId="3" borderId="1" xfId="1" applyFont="1" applyFill="1" applyBorder="1" applyAlignment="1">
      <alignment horizontal="center" vertical="center"/>
    </xf>
    <xf numFmtId="44" fontId="0" fillId="3" borderId="1" xfId="0" applyNumberFormat="1" applyFill="1" applyBorder="1" applyAlignment="1">
      <alignment horizontal="center" vertical="center"/>
    </xf>
    <xf numFmtId="164" fontId="0" fillId="3" borderId="1" xfId="2" applyNumberFormat="1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2" fontId="0" fillId="0" borderId="1" xfId="0" applyNumberFormat="1" applyBorder="1" applyAlignment="1">
      <alignment horizontal="center" vertical="center"/>
    </xf>
    <xf numFmtId="4" fontId="0" fillId="0" borderId="1" xfId="0" applyNumberFormat="1" applyBorder="1" applyAlignment="1">
      <alignment horizontal="center" vertical="center"/>
    </xf>
    <xf numFmtId="44" fontId="0" fillId="0" borderId="1" xfId="1" applyFont="1" applyBorder="1" applyAlignment="1">
      <alignment horizontal="center" vertical="center"/>
    </xf>
    <xf numFmtId="44" fontId="0" fillId="0" borderId="1" xfId="0" applyNumberFormat="1" applyBorder="1" applyAlignment="1">
      <alignment horizontal="center" vertical="center"/>
    </xf>
    <xf numFmtId="164" fontId="0" fillId="0" borderId="1" xfId="2" applyNumberFormat="1" applyFont="1" applyBorder="1" applyAlignment="1">
      <alignment horizontal="center" vertical="center"/>
    </xf>
    <xf numFmtId="0" fontId="0" fillId="3" borderId="1" xfId="0" applyFill="1" applyBorder="1" applyAlignment="1">
      <alignment horizontal="left" vertical="center"/>
    </xf>
    <xf numFmtId="0" fontId="0" fillId="0" borderId="1" xfId="0" applyBorder="1" applyAlignment="1">
      <alignment horizontal="left" vertical="center"/>
    </xf>
    <xf numFmtId="9" fontId="0" fillId="3" borderId="1" xfId="2" applyFont="1" applyFill="1" applyBorder="1" applyAlignment="1">
      <alignment horizontal="center" vertical="center"/>
    </xf>
    <xf numFmtId="9" fontId="0" fillId="0" borderId="1" xfId="2" applyFont="1" applyBorder="1" applyAlignment="1">
      <alignment horizontal="center" vertical="center"/>
    </xf>
    <xf numFmtId="0" fontId="2" fillId="2" borderId="3" xfId="0" applyFont="1" applyFill="1" applyBorder="1" applyAlignment="1">
      <alignment horizontal="left" vertical="center"/>
    </xf>
    <xf numFmtId="0" fontId="2" fillId="2" borderId="3" xfId="0" applyFont="1" applyFill="1" applyBorder="1" applyAlignment="1">
      <alignment horizontal="center" vertical="center"/>
    </xf>
    <xf numFmtId="2" fontId="2" fillId="2" borderId="3" xfId="0" applyNumberFormat="1" applyFont="1" applyFill="1" applyBorder="1" applyAlignment="1">
      <alignment horizontal="center" vertical="center"/>
    </xf>
    <xf numFmtId="44" fontId="2" fillId="2" borderId="3" xfId="1" applyFont="1" applyFill="1" applyBorder="1" applyAlignment="1">
      <alignment horizontal="center" vertical="center"/>
    </xf>
    <xf numFmtId="164" fontId="2" fillId="2" borderId="3" xfId="2" applyNumberFormat="1" applyFont="1" applyFill="1" applyBorder="1" applyAlignment="1">
      <alignment horizontal="center" vertical="center"/>
    </xf>
    <xf numFmtId="9" fontId="2" fillId="2" borderId="3" xfId="2" applyFont="1" applyFill="1" applyBorder="1" applyAlignment="1">
      <alignment horizontal="center" vertical="center"/>
    </xf>
    <xf numFmtId="0" fontId="0" fillId="0" borderId="4" xfId="0" applyBorder="1" applyAlignment="1">
      <alignment horizontal="left" vertical="center"/>
    </xf>
    <xf numFmtId="0" fontId="0" fillId="0" borderId="4" xfId="0" applyBorder="1" applyAlignment="1">
      <alignment horizontal="center" vertical="center"/>
    </xf>
    <xf numFmtId="2" fontId="0" fillId="0" borderId="4" xfId="0" applyNumberFormat="1" applyBorder="1" applyAlignment="1">
      <alignment horizontal="center" vertical="center"/>
    </xf>
    <xf numFmtId="4" fontId="0" fillId="0" borderId="4" xfId="0" applyNumberFormat="1" applyBorder="1" applyAlignment="1">
      <alignment horizontal="center" vertical="center"/>
    </xf>
    <xf numFmtId="44" fontId="0" fillId="0" borderId="4" xfId="1" applyFont="1" applyBorder="1" applyAlignment="1">
      <alignment horizontal="center" vertical="center"/>
    </xf>
    <xf numFmtId="44" fontId="0" fillId="0" borderId="4" xfId="0" applyNumberFormat="1" applyBorder="1" applyAlignment="1">
      <alignment horizontal="center" vertical="center"/>
    </xf>
    <xf numFmtId="164" fontId="0" fillId="0" borderId="4" xfId="2" applyNumberFormat="1" applyFont="1" applyBorder="1" applyAlignment="1">
      <alignment horizontal="center" vertical="center"/>
    </xf>
    <xf numFmtId="9" fontId="0" fillId="0" borderId="4" xfId="2" applyFont="1" applyBorder="1" applyAlignment="1">
      <alignment horizontal="center" vertical="center"/>
    </xf>
    <xf numFmtId="0" fontId="4" fillId="3" borderId="1" xfId="0" applyFont="1" applyFill="1" applyBorder="1" applyAlignment="1">
      <alignment horizontal="center" vertical="center"/>
    </xf>
    <xf numFmtId="0" fontId="4" fillId="3" borderId="2" xfId="0" applyFont="1" applyFill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5" fillId="0" borderId="5" xfId="0" applyFont="1" applyBorder="1" applyAlignment="1">
      <alignment horizontal="center" vertical="center"/>
    </xf>
    <xf numFmtId="0" fontId="0" fillId="3" borderId="1" xfId="0" applyNumberFormat="1" applyFill="1" applyBorder="1" applyAlignment="1">
      <alignment horizontal="center" vertical="center"/>
    </xf>
    <xf numFmtId="0" fontId="0" fillId="0" borderId="1" xfId="0" applyNumberFormat="1" applyBorder="1" applyAlignment="1">
      <alignment horizontal="center" vertical="center"/>
    </xf>
    <xf numFmtId="0" fontId="0" fillId="0" borderId="4" xfId="0" applyNumberFormat="1" applyBorder="1" applyAlignment="1">
      <alignment horizontal="center" vertical="center"/>
    </xf>
  </cellXfs>
  <cellStyles count="3">
    <cellStyle name="Moeda" xfId="1" builtinId="4"/>
    <cellStyle name="Normal" xfId="0" builtinId="0"/>
    <cellStyle name="Porcentagem" xfId="2" builtinId="5"/>
  </cellStyles>
  <dxfs count="11">
    <dxf>
      <numFmt numFmtId="13" formatCode="0%"/>
    </dxf>
    <dxf>
      <numFmt numFmtId="34" formatCode="_-&quot;R$&quot;\ * #,##0.00_-;\-&quot;R$&quot;\ * #,##0.00_-;_-&quot;R$&quot;\ * &quot;-&quot;??_-;_-@_-"/>
    </dxf>
    <dxf>
      <numFmt numFmtId="164" formatCode="0.0%"/>
    </dxf>
    <dxf>
      <numFmt numFmtId="34" formatCode="_-&quot;R$&quot;\ * #,##0.00_-;\-&quot;R$&quot;\ * #,##0.00_-;_-&quot;R$&quot;\ * &quot;-&quot;??_-;_-@_-"/>
    </dxf>
    <dxf>
      <numFmt numFmtId="0" formatCode="General"/>
    </dxf>
    <dxf>
      <numFmt numFmtId="2" formatCode="0.00"/>
    </dxf>
    <dxf>
      <border outline="0">
        <top style="thin">
          <color theme="4" tint="0.39997558519241921"/>
        </top>
      </border>
    </dxf>
    <dxf>
      <border outline="0">
        <bottom style="thin">
          <color theme="4" tint="0.39997558519241921"/>
        </bottom>
      </border>
    </dxf>
    <dxf>
      <border outline="0">
        <left style="thin">
          <color theme="4" tint="0.39997558519241921"/>
        </left>
        <right style="thin">
          <color theme="4" tint="0.39997558519241921"/>
        </right>
        <top style="thin">
          <color theme="4" tint="0.39997558519241921"/>
        </top>
        <bottom style="thin">
          <color theme="4" tint="0.3999755851924192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fgColor theme="4"/>
          <bgColor theme="4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  <border diagonalUp="0" diagonalDown="0">
        <left/>
        <right style="thin">
          <color theme="4" tint="0.39997558519241921"/>
        </right>
        <top style="thin">
          <color theme="4" tint="0.39997558519241921"/>
        </top>
        <bottom style="thin">
          <color theme="4" tint="0.39997558519241921"/>
        </bottom>
        <vertical/>
        <horizontal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fabricio.faustino\Desktop\PROJETOS\Simulador%20frete%20AS.xlsx" TargetMode="External"/><Relationship Id="rId1" Type="http://schemas.openxmlformats.org/officeDocument/2006/relationships/externalLinkPath" Target="Simulador%20frete%20AS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Planilha1"/>
      <sheetName val="as1"/>
    </sheetNames>
    <sheetDataSet>
      <sheetData sheetId="0"/>
      <sheetData sheetId="1"/>
    </sheetDataSet>
  </externalBook>
</externalLink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5B521517-845E-46A9-B625-926BA9547A82}" name="Tabela1" displayName="Tabela1" ref="A1:O9" totalsRowShown="0" headerRowDxfId="9" headerRowBorderDxfId="7" tableBorderDxfId="8" totalsRowBorderDxfId="6">
  <autoFilter ref="A1:O9" xr:uid="{5B521517-845E-46A9-B625-926BA9547A82}"/>
  <tableColumns count="15">
    <tableColumn id="1" xr3:uid="{9774F591-C9F5-427A-90CD-7D901F4E1059}" name="Rota"/>
    <tableColumn id="2" xr3:uid="{F866D3E0-43AE-4A8F-81DE-AB10A3F2D00C}" name="Entregas"/>
    <tableColumn id="3" xr3:uid="{43B78298-F0B2-4040-BE68-FFDB5BE449FA}" name="Peso Bruto"/>
    <tableColumn id="4" xr3:uid="{C34783F0-B005-467F-8D3B-35B7A570C92C}" name="Peso Liquido" dataDxfId="5">
      <calculatedColumnFormula>Tabela1[[#This Row],[Peso Bruto]]*(1-6%)</calculatedColumnFormula>
    </tableColumn>
    <tableColumn id="5" xr3:uid="{875121B2-799C-47B7-9106-6E0A1DFABBC8}" name="Distância"/>
    <tableColumn id="6" xr3:uid="{2C780E78-57F5-481D-A747-2B0B8C690AE9}" name="Equipamento"/>
    <tableColumn id="8" xr3:uid="{551B9C74-00D3-4B02-AAD1-B3A90BA3A52F}" name="Capacidade" dataDxfId="4">
      <calculatedColumnFormula>VLOOKUP(F2,Tabela2[#All],2,0)</calculatedColumnFormula>
    </tableColumn>
    <tableColumn id="9" xr3:uid="{331B7158-5EFA-4C7E-B023-B313B16E0B35}" name="Valor NF"/>
    <tableColumn id="10" xr3:uid="{9EAB00D7-F093-4349-A915-323C7BB3BDEA}" name="Diaria">
      <calculatedColumnFormula>[1]!Tabela17[[#This Row],[Entregas]]-1</calculatedColumnFormula>
    </tableColumn>
    <tableColumn id="11" xr3:uid="{82691022-E364-4C0D-88E0-A0A85E2A4709}" name="Custo Km">
      <calculatedColumnFormula>VLOOKUP([1]!Tabela17[[#This Row],[Equipamento]],[1]Planilha1!$B$1:$C$8,2,0)</calculatedColumnFormula>
    </tableColumn>
    <tableColumn id="12" xr3:uid="{74FFDFA7-0F15-4C80-8887-ECCF93E9B799}" name="Custo Saida">
      <calculatedColumnFormula>VLOOKUP([1]!Tabela17[[#This Row],[Equipamento]],[1]Planilha1!B:E,3,0)</calculatedColumnFormula>
    </tableColumn>
    <tableColumn id="13" xr3:uid="{01E4B1E5-D0F6-4EB9-A4D4-C53B9C1B6ADB}" name="Custo Total2" dataDxfId="3">
      <calculatedColumnFormula>(Tabela1[[#This Row],[Custo Km]]*Tabela1[[#This Row],[Distância]])+Tabela1[[#This Row],[Custo Saida]]+(Tabela1[[#This Row],[Diaria]]*Tabela1[[#This Row],[Custo Saida]])</calculatedColumnFormula>
    </tableColumn>
    <tableColumn id="14" xr3:uid="{86124D17-56E8-4275-A9B1-63A421F9853C}" name="Valor Frete Nf" dataDxfId="2">
      <calculatedColumnFormula>L2/Tabela1[[#This Row],[Valor NF]]</calculatedColumnFormula>
    </tableColumn>
    <tableColumn id="15" xr3:uid="{761F8AD0-D286-45CD-8E3C-688A7447B18A}" name="Frete/Kg" dataDxfId="1">
      <calculatedColumnFormula>L2/Tabela1[[#This Row],[Peso Liquido]]</calculatedColumnFormula>
    </tableColumn>
    <tableColumn id="16" xr3:uid="{BA19DAD9-F005-4A8B-BDB9-4FD99E619987}" name="Ocupação" dataDxfId="0">
      <calculatedColumnFormula>Tabela1[[#This Row],[Peso Liquido]]/Tabela1[[#This Row],[Capacidade]]</calculatedColumnFormula>
    </tableColumn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118B63B7-AE96-47B2-9A8E-D7795DFFCF87}" name="Tabela2" displayName="Tabela2" ref="A1:B9" totalsRowShown="0">
  <autoFilter ref="A1:B9" xr:uid="{118B63B7-AE96-47B2-9A8E-D7795DFFCF87}"/>
  <tableColumns count="2">
    <tableColumn id="1" xr3:uid="{1E938CD7-FC29-4182-8227-DB1D0EE7C4DD}" name="Tipologia"/>
    <tableColumn id="2" xr3:uid="{29198AC7-1BC1-46DA-88C3-50454A554CA0}" name="Peso" dataDxfId="1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9"/>
  <sheetViews>
    <sheetView tabSelected="1" zoomScaleNormal="100" workbookViewId="0">
      <selection activeCell="A26" sqref="A26"/>
    </sheetView>
  </sheetViews>
  <sheetFormatPr defaultRowHeight="14.5"/>
  <cols>
    <col min="1" max="1" width="57.36328125" bestFit="1" customWidth="1"/>
    <col min="2" max="2" width="10.08984375" customWidth="1"/>
    <col min="3" max="3" width="12" customWidth="1"/>
    <col min="4" max="4" width="13.6328125" customWidth="1"/>
    <col min="5" max="5" width="10.54296875" customWidth="1"/>
    <col min="6" max="6" width="14.1796875" customWidth="1"/>
    <col min="7" max="7" width="12.54296875" customWidth="1"/>
    <col min="8" max="8" width="10.08984375" customWidth="1"/>
    <col min="9" max="9" width="7.81640625" customWidth="1"/>
    <col min="10" max="10" width="10.81640625" customWidth="1"/>
    <col min="11" max="11" width="13.90625" customWidth="1"/>
    <col min="12" max="12" width="13.26953125" customWidth="1"/>
    <col min="13" max="13" width="14.7265625" customWidth="1"/>
    <col min="14" max="14" width="10.26953125" customWidth="1"/>
    <col min="15" max="15" width="11.08984375" customWidth="1"/>
  </cols>
  <sheetData>
    <row r="1" spans="1:15">
      <c r="A1" s="17" t="s">
        <v>0</v>
      </c>
      <c r="B1" s="18" t="s">
        <v>1</v>
      </c>
      <c r="C1" s="19" t="s">
        <v>2</v>
      </c>
      <c r="D1" s="19" t="s">
        <v>3</v>
      </c>
      <c r="E1" s="18" t="s">
        <v>4</v>
      </c>
      <c r="F1" s="18" t="s">
        <v>5</v>
      </c>
      <c r="G1" s="18" t="s">
        <v>6</v>
      </c>
      <c r="H1" s="18" t="s">
        <v>7</v>
      </c>
      <c r="I1" s="18" t="s">
        <v>8</v>
      </c>
      <c r="J1" s="18" t="s">
        <v>9</v>
      </c>
      <c r="K1" s="20" t="s">
        <v>10</v>
      </c>
      <c r="L1" s="18" t="s">
        <v>11</v>
      </c>
      <c r="M1" s="21" t="s">
        <v>12</v>
      </c>
      <c r="N1" s="18" t="s">
        <v>13</v>
      </c>
      <c r="O1" s="22" t="s">
        <v>14</v>
      </c>
    </row>
    <row r="2" spans="1:15">
      <c r="A2" s="13" t="s">
        <v>16</v>
      </c>
      <c r="B2" s="1">
        <v>3</v>
      </c>
      <c r="C2" s="2">
        <v>1380.9</v>
      </c>
      <c r="D2" s="2">
        <f>Tabela1[[#This Row],[Peso Bruto]]*(1-6%)</f>
        <v>1298.046</v>
      </c>
      <c r="E2" s="3">
        <v>150.81</v>
      </c>
      <c r="F2" s="1" t="s">
        <v>20</v>
      </c>
      <c r="G2" s="1">
        <f>VLOOKUP(F2,Tabela2[#All],2,0)</f>
        <v>600</v>
      </c>
      <c r="H2" s="3">
        <v>97082.63</v>
      </c>
      <c r="I2" s="1">
        <v>1</v>
      </c>
      <c r="J2" s="1">
        <v>2.6</v>
      </c>
      <c r="K2" s="4">
        <v>500</v>
      </c>
      <c r="L2" s="5">
        <f>(Tabela1[[#This Row],[Custo Km]]*Tabela1[[#This Row],[Distância]])+Tabela1[[#This Row],[Custo Saida]]+(Tabela1[[#This Row],[Diaria]]*Tabela1[[#This Row],[Custo Saida]])</f>
        <v>1392.106</v>
      </c>
      <c r="M2" s="6">
        <f>L2/Tabela1[[#This Row],[Valor NF]]</f>
        <v>1.4339393154058558E-2</v>
      </c>
      <c r="N2" s="5">
        <f>L2/Tabela1[[#This Row],[Peso Liquido]]</f>
        <v>1.0724627632610861</v>
      </c>
      <c r="O2" s="15">
        <f>Tabela1[[#This Row],[Peso Liquido]]/Tabela1[[#This Row],[Capacidade]]</f>
        <v>2.1634100000000003</v>
      </c>
    </row>
    <row r="3" spans="1:15">
      <c r="A3" s="14" t="s">
        <v>17</v>
      </c>
      <c r="B3" s="7">
        <v>3</v>
      </c>
      <c r="C3" s="8">
        <v>1433.05</v>
      </c>
      <c r="D3" s="8">
        <f>Tabela1[[#This Row],[Peso Bruto]]*(1-6%)</f>
        <v>1347.0669999999998</v>
      </c>
      <c r="E3" s="9">
        <v>135.12</v>
      </c>
      <c r="F3" s="9" t="s">
        <v>21</v>
      </c>
      <c r="G3" s="7">
        <f>VLOOKUP(F3,Tabela2[#All],2,0)</f>
        <v>1500</v>
      </c>
      <c r="H3" s="9">
        <v>129390.57</v>
      </c>
      <c r="I3" s="7">
        <v>2</v>
      </c>
      <c r="J3" s="7">
        <v>2.6</v>
      </c>
      <c r="K3" s="10">
        <v>500</v>
      </c>
      <c r="L3" s="11">
        <f>(Tabela1[[#This Row],[Custo Km]]*Tabela1[[#This Row],[Distância]])+Tabela1[[#This Row],[Custo Saida]]+(Tabela1[[#This Row],[Diaria]]*Tabela1[[#This Row],[Custo Saida]])</f>
        <v>1851.3119999999999</v>
      </c>
      <c r="M3" s="12">
        <f>L3/Tabela1[[#This Row],[Valor NF]]</f>
        <v>1.4307936042016044E-2</v>
      </c>
      <c r="N3" s="11">
        <f>L3/Tabela1[[#This Row],[Peso Liquido]]</f>
        <v>1.3743280772225881</v>
      </c>
      <c r="O3" s="16">
        <f>Tabela1[[#This Row],[Peso Liquido]]/Tabela1[[#This Row],[Capacidade]]</f>
        <v>0.89804466666666649</v>
      </c>
    </row>
    <row r="4" spans="1:15">
      <c r="A4" s="13" t="s">
        <v>18</v>
      </c>
      <c r="B4" s="1">
        <v>5</v>
      </c>
      <c r="C4" s="2">
        <v>2075.9499999999998</v>
      </c>
      <c r="D4" s="2">
        <f>Tabela1[[#This Row],[Peso Bruto]]*(1-6%)</f>
        <v>1951.3929999999998</v>
      </c>
      <c r="E4" s="1">
        <v>357.91</v>
      </c>
      <c r="F4" s="1" t="s">
        <v>15</v>
      </c>
      <c r="G4" s="1">
        <f>VLOOKUP(F4,Tabela2[#All],2,0)</f>
        <v>3500</v>
      </c>
      <c r="H4" s="3">
        <v>205139.05</v>
      </c>
      <c r="I4" s="1">
        <v>2</v>
      </c>
      <c r="J4" s="1">
        <v>2.6</v>
      </c>
      <c r="K4" s="4">
        <v>500</v>
      </c>
      <c r="L4" s="5">
        <f>(Tabela1[[#This Row],[Custo Km]]*Tabela1[[#This Row],[Distância]])+Tabela1[[#This Row],[Custo Saida]]+(Tabela1[[#This Row],[Diaria]]*Tabela1[[#This Row],[Custo Saida]])</f>
        <v>2430.5660000000003</v>
      </c>
      <c r="M4" s="6">
        <f>L4/Tabela1[[#This Row],[Valor NF]]</f>
        <v>1.1848382840809687E-2</v>
      </c>
      <c r="N4" s="5">
        <f>L4/Tabela1[[#This Row],[Peso Liquido]]</f>
        <v>1.2455543296506653</v>
      </c>
      <c r="O4" s="15">
        <f>Tabela1[[#This Row],[Peso Liquido]]/Tabela1[[#This Row],[Capacidade]]</f>
        <v>0.55754085714285706</v>
      </c>
    </row>
    <row r="5" spans="1:15">
      <c r="A5" s="23" t="s">
        <v>19</v>
      </c>
      <c r="B5" s="24">
        <v>3</v>
      </c>
      <c r="C5" s="25">
        <v>2167.23</v>
      </c>
      <c r="D5" s="25">
        <f>Tabela1[[#This Row],[Peso Bruto]]*(1-6%)</f>
        <v>2037.1961999999999</v>
      </c>
      <c r="E5" s="26">
        <v>481.44</v>
      </c>
      <c r="F5" s="26" t="s">
        <v>22</v>
      </c>
      <c r="G5" s="24">
        <f>VLOOKUP(F5,Tabela2[#All],2,0)</f>
        <v>5000</v>
      </c>
      <c r="H5" s="26">
        <v>91250.5</v>
      </c>
      <c r="I5" s="24">
        <v>2</v>
      </c>
      <c r="J5" s="24">
        <v>2.6</v>
      </c>
      <c r="K5" s="27">
        <v>500</v>
      </c>
      <c r="L5" s="28">
        <f>(Tabela1[[#This Row],[Custo Km]]*Tabela1[[#This Row],[Distância]])+Tabela1[[#This Row],[Custo Saida]]+(Tabela1[[#This Row],[Diaria]]*Tabela1[[#This Row],[Custo Saida]])</f>
        <v>2751.7440000000001</v>
      </c>
      <c r="M5" s="29">
        <f>L5/Tabela1[[#This Row],[Valor NF]]</f>
        <v>3.0155933392145798E-2</v>
      </c>
      <c r="N5" s="28">
        <f>L5/Tabela1[[#This Row],[Peso Liquido]]</f>
        <v>1.3507506051699882</v>
      </c>
      <c r="O5" s="30">
        <f>Tabela1[[#This Row],[Peso Liquido]]/Tabela1[[#This Row],[Capacidade]]</f>
        <v>0.40743923999999998</v>
      </c>
    </row>
    <row r="6" spans="1:15">
      <c r="A6" s="13" t="s">
        <v>16</v>
      </c>
      <c r="B6" s="1">
        <v>3</v>
      </c>
      <c r="C6" s="2">
        <v>2291.1999999999998</v>
      </c>
      <c r="D6" s="2">
        <f>Tabela1[[#This Row],[Peso Bruto]]*(1-6%)</f>
        <v>2153.7279999999996</v>
      </c>
      <c r="E6" s="3">
        <v>468.06</v>
      </c>
      <c r="F6" s="1" t="s">
        <v>23</v>
      </c>
      <c r="G6" s="36">
        <f>VLOOKUP(F6,Tabela2[#All],2,0)</f>
        <v>6000</v>
      </c>
      <c r="H6" s="3">
        <v>97082.63</v>
      </c>
      <c r="I6" s="1">
        <v>1</v>
      </c>
      <c r="J6" s="1">
        <v>2.6</v>
      </c>
      <c r="K6" s="4">
        <v>500</v>
      </c>
      <c r="L6" s="5">
        <f>(Tabela1[[#This Row],[Custo Km]]*Tabela1[[#This Row],[Distância]])+Tabela1[[#This Row],[Custo Saida]]+(Tabela1[[#This Row],[Diaria]]*Tabela1[[#This Row],[Custo Saida]])</f>
        <v>2216.9560000000001</v>
      </c>
      <c r="M6" s="6">
        <f>L6/Tabela1[[#This Row],[Valor NF]]</f>
        <v>2.2835763720039311E-2</v>
      </c>
      <c r="N6" s="5">
        <f>L6/Tabela1[[#This Row],[Peso Liquido]]</f>
        <v>1.029357467609652</v>
      </c>
      <c r="O6" s="15">
        <f>Tabela1[[#This Row],[Peso Liquido]]/Tabela1[[#This Row],[Capacidade]]</f>
        <v>0.35895466666666659</v>
      </c>
    </row>
    <row r="7" spans="1:15">
      <c r="A7" s="14" t="s">
        <v>17</v>
      </c>
      <c r="B7" s="7">
        <v>3</v>
      </c>
      <c r="C7" s="8">
        <v>2338.15</v>
      </c>
      <c r="D7" s="8">
        <f>Tabela1[[#This Row],[Peso Bruto]]*(1-6%)</f>
        <v>2197.8609999999999</v>
      </c>
      <c r="E7" s="9">
        <v>557.59</v>
      </c>
      <c r="F7" s="9" t="s">
        <v>21</v>
      </c>
      <c r="G7" s="37">
        <f>VLOOKUP(F7,Tabela2[#All],2,0)</f>
        <v>1500</v>
      </c>
      <c r="H7" s="9">
        <v>129390.57</v>
      </c>
      <c r="I7" s="7">
        <v>2</v>
      </c>
      <c r="J7" s="7">
        <v>2.6</v>
      </c>
      <c r="K7" s="10">
        <v>500</v>
      </c>
      <c r="L7" s="11">
        <f>(Tabela1[[#This Row],[Custo Km]]*Tabela1[[#This Row],[Distância]])+Tabela1[[#This Row],[Custo Saida]]+(Tabela1[[#This Row],[Diaria]]*Tabela1[[#This Row],[Custo Saida]])</f>
        <v>2949.7340000000004</v>
      </c>
      <c r="M7" s="12">
        <f>L7/Tabela1[[#This Row],[Valor NF]]</f>
        <v>2.2797132743135766E-2</v>
      </c>
      <c r="N7" s="11">
        <f>L7/Tabela1[[#This Row],[Peso Liquido]]</f>
        <v>1.3420930623001184</v>
      </c>
      <c r="O7" s="16">
        <f>Tabela1[[#This Row],[Peso Liquido]]/Tabela1[[#This Row],[Capacidade]]</f>
        <v>1.4652406666666666</v>
      </c>
    </row>
    <row r="8" spans="1:15">
      <c r="A8" s="13" t="s">
        <v>18</v>
      </c>
      <c r="B8" s="1">
        <v>5</v>
      </c>
      <c r="C8" s="2">
        <v>3152.49</v>
      </c>
      <c r="D8" s="2">
        <f>Tabela1[[#This Row],[Peso Bruto]]*(1-6%)</f>
        <v>2963.3405999999995</v>
      </c>
      <c r="E8" s="1">
        <v>364.65</v>
      </c>
      <c r="F8" s="1" t="s">
        <v>25</v>
      </c>
      <c r="G8" s="36">
        <f>VLOOKUP(F8,Tabela2[#All],2,0)</f>
        <v>16000</v>
      </c>
      <c r="H8" s="3">
        <v>205139.05</v>
      </c>
      <c r="I8" s="1">
        <v>2</v>
      </c>
      <c r="J8" s="1">
        <v>2.6</v>
      </c>
      <c r="K8" s="4">
        <v>500</v>
      </c>
      <c r="L8" s="5">
        <f>(Tabela1[[#This Row],[Custo Km]]*Tabela1[[#This Row],[Distância]])+Tabela1[[#This Row],[Custo Saida]]+(Tabela1[[#This Row],[Diaria]]*Tabela1[[#This Row],[Custo Saida]])</f>
        <v>2448.09</v>
      </c>
      <c r="M8" s="6">
        <f>L8/Tabela1[[#This Row],[Valor NF]]</f>
        <v>1.1933807824497581E-2</v>
      </c>
      <c r="N8" s="5">
        <f>L8/Tabela1[[#This Row],[Peso Liquido]]</f>
        <v>0.82612508329282175</v>
      </c>
      <c r="O8" s="15">
        <f>Tabela1[[#This Row],[Peso Liquido]]/Tabela1[[#This Row],[Capacidade]]</f>
        <v>0.18520878749999997</v>
      </c>
    </row>
    <row r="9" spans="1:15">
      <c r="A9" s="23" t="s">
        <v>19</v>
      </c>
      <c r="B9" s="24">
        <v>3</v>
      </c>
      <c r="C9" s="25">
        <v>3358.41</v>
      </c>
      <c r="D9" s="25">
        <f>Tabela1[[#This Row],[Peso Bruto]]*(1-6%)</f>
        <v>3156.9053999999996</v>
      </c>
      <c r="E9" s="26">
        <v>357.29</v>
      </c>
      <c r="F9" s="26" t="s">
        <v>26</v>
      </c>
      <c r="G9" s="38">
        <f>VLOOKUP(F9,Tabela2[#All],2,0)</f>
        <v>2500</v>
      </c>
      <c r="H9" s="26">
        <v>91250.5</v>
      </c>
      <c r="I9" s="24">
        <v>2</v>
      </c>
      <c r="J9" s="24">
        <v>2.6</v>
      </c>
      <c r="K9" s="27">
        <v>500</v>
      </c>
      <c r="L9" s="28">
        <f>(Tabela1[[#This Row],[Custo Km]]*Tabela1[[#This Row],[Distância]])+Tabela1[[#This Row],[Custo Saida]]+(Tabela1[[#This Row],[Diaria]]*Tabela1[[#This Row],[Custo Saida]])</f>
        <v>2428.9540000000002</v>
      </c>
      <c r="M9" s="29">
        <f>L9/Tabela1[[#This Row],[Valor NF]]</f>
        <v>2.6618528117654153E-2</v>
      </c>
      <c r="N9" s="28">
        <f>L9/Tabela1[[#This Row],[Peso Liquido]]</f>
        <v>0.7694098150676294</v>
      </c>
      <c r="O9" s="30">
        <f>Tabela1[[#This Row],[Peso Liquido]]/Tabela1[[#This Row],[Capacidade]]</f>
        <v>1.2627621599999999</v>
      </c>
    </row>
  </sheetData>
  <phoneticPr fontId="3" type="noConversion"/>
  <pageMargins left="0.7" right="0.7" top="0.75" bottom="0.75" header="0.3" footer="0.3"/>
  <tableParts count="1">
    <tablePart r:id="rId1"/>
  </tableParts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FEBB3462-6D2C-4CD1-86A4-73C52A29B329}">
          <x14:formula1>
            <xm:f>BASE!$A$2:$A$9</xm:f>
          </x14:formula1>
          <xm:sqref>F2:F9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A89253-C9A1-47F6-85AD-A6E577C44975}">
  <dimension ref="A1:B9"/>
  <sheetViews>
    <sheetView workbookViewId="0">
      <selection activeCell="B3" sqref="B3"/>
    </sheetView>
  </sheetViews>
  <sheetFormatPr defaultRowHeight="14.5"/>
  <cols>
    <col min="1" max="1" width="10.6328125" customWidth="1"/>
    <col min="2" max="2" width="7" customWidth="1"/>
  </cols>
  <sheetData>
    <row r="1" spans="1:2">
      <c r="A1" t="s">
        <v>27</v>
      </c>
      <c r="B1" t="s">
        <v>28</v>
      </c>
    </row>
    <row r="2" spans="1:2">
      <c r="A2" s="31" t="s">
        <v>20</v>
      </c>
      <c r="B2" s="32">
        <v>600</v>
      </c>
    </row>
    <row r="3" spans="1:2">
      <c r="A3" s="33" t="s">
        <v>21</v>
      </c>
      <c r="B3" s="34">
        <v>1500</v>
      </c>
    </row>
    <row r="4" spans="1:2">
      <c r="A4" s="31" t="s">
        <v>15</v>
      </c>
      <c r="B4" s="32">
        <v>3500</v>
      </c>
    </row>
    <row r="5" spans="1:2">
      <c r="A5" s="33" t="s">
        <v>22</v>
      </c>
      <c r="B5" s="34">
        <v>5000</v>
      </c>
    </row>
    <row r="6" spans="1:2">
      <c r="A6" s="31" t="s">
        <v>23</v>
      </c>
      <c r="B6" s="32">
        <v>6000</v>
      </c>
    </row>
    <row r="7" spans="1:2">
      <c r="A7" s="33" t="s">
        <v>24</v>
      </c>
      <c r="B7" s="34">
        <v>11000</v>
      </c>
    </row>
    <row r="8" spans="1:2">
      <c r="A8" s="31" t="s">
        <v>25</v>
      </c>
      <c r="B8" s="32">
        <v>16000</v>
      </c>
    </row>
    <row r="9" spans="1:2">
      <c r="A9" s="35" t="s">
        <v>26</v>
      </c>
      <c r="B9" s="34">
        <v>2500</v>
      </c>
    </row>
  </sheetData>
  <pageMargins left="0.511811024" right="0.511811024" top="0.78740157499999996" bottom="0.78740157499999996" header="0.31496062000000002" footer="0.31496062000000002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Plan1</vt:lpstr>
      <vt:lpstr>BASE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Fabricio Dos Santos Faustino</dc:creator>
  <cp:lastModifiedBy>Fabricio Dos Santos Faustino</cp:lastModifiedBy>
  <dcterms:created xsi:type="dcterms:W3CDTF">2015-06-05T18:19:34Z</dcterms:created>
  <dcterms:modified xsi:type="dcterms:W3CDTF">2026-03-17T18:01:28Z</dcterms:modified>
</cp:coreProperties>
</file>