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cio.faustino\Desktop\"/>
    </mc:Choice>
  </mc:AlternateContent>
  <xr:revisionPtr revIDLastSave="0" documentId="13_ncr:1_{CDD7E4E8-D7E2-448D-A504-20E31686FC6B}" xr6:coauthVersionLast="47" xr6:coauthVersionMax="47" xr10:uidLastSave="{00000000-0000-0000-0000-000000000000}"/>
  <bookViews>
    <workbookView xWindow="-38520" yWindow="-120" windowWidth="38640" windowHeight="15720" xr2:uid="{F9C1C144-4CEE-4608-BF04-CC63536F5E35}"/>
  </bookViews>
  <sheets>
    <sheet name="Planilha1" sheetId="2" r:id="rId1"/>
    <sheet name="as1" sheetId="1" r:id="rId2"/>
    <sheet name="AS COPERTRAL" sheetId="3" r:id="rId3"/>
  </sheets>
  <calcPr calcId="181029"/>
</workbook>
</file>

<file path=xl/calcChain.xml><?xml version="1.0" encoding="utf-8"?>
<calcChain xmlns="http://schemas.openxmlformats.org/spreadsheetml/2006/main">
  <c r="R19" i="3" l="1"/>
  <c r="Q19" i="3"/>
  <c r="N4" i="3"/>
  <c r="O4" i="3" s="1"/>
  <c r="N5" i="3"/>
  <c r="O5" i="3" s="1"/>
  <c r="N6" i="3"/>
  <c r="N7" i="3"/>
  <c r="O7" i="3" s="1"/>
  <c r="N8" i="3"/>
  <c r="O8" i="3" s="1"/>
  <c r="N9" i="3"/>
  <c r="N10" i="3"/>
  <c r="N11" i="3"/>
  <c r="O11" i="3" s="1"/>
  <c r="N12" i="3"/>
  <c r="O12" i="3" s="1"/>
  <c r="N13" i="3"/>
  <c r="O13" i="3" s="1"/>
  <c r="N14" i="3"/>
  <c r="O14" i="3" s="1"/>
  <c r="N15" i="3"/>
  <c r="N16" i="3"/>
  <c r="N17" i="3"/>
  <c r="N18" i="3"/>
  <c r="N19" i="3"/>
  <c r="O19" i="3" s="1"/>
  <c r="N3" i="3"/>
  <c r="O17" i="3" l="1"/>
  <c r="O10" i="3"/>
  <c r="O18" i="3"/>
  <c r="O6" i="3"/>
  <c r="O9" i="3"/>
  <c r="O15" i="3"/>
  <c r="O3" i="3"/>
  <c r="O16" i="3"/>
  <c r="O20" i="3" l="1"/>
  <c r="H45" i="3" l="1"/>
  <c r="L45" i="3"/>
  <c r="K45" i="3"/>
  <c r="J45" i="3"/>
  <c r="I45" i="3"/>
  <c r="G45" i="3"/>
  <c r="D45" i="3"/>
  <c r="C45" i="3"/>
  <c r="D21" i="3"/>
  <c r="G21" i="3"/>
  <c r="J21" i="3"/>
  <c r="I21" i="3"/>
  <c r="C21" i="3"/>
  <c r="H21" i="3"/>
  <c r="T16" i="3" s="1"/>
  <c r="K21" i="3"/>
  <c r="V16" i="3" s="1"/>
  <c r="L21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J12" i="1"/>
  <c r="I12" i="1"/>
  <c r="F12" i="1"/>
  <c r="N12" i="1" s="1"/>
  <c r="U16" i="3" l="1"/>
  <c r="K12" i="1"/>
  <c r="M12" i="1" s="1"/>
  <c r="I15" i="1"/>
  <c r="F15" i="1"/>
  <c r="F10" i="1"/>
  <c r="F5" i="1"/>
  <c r="F2" i="1"/>
  <c r="N2" i="1" s="1"/>
  <c r="F18" i="1"/>
  <c r="F16" i="1"/>
  <c r="F3" i="1"/>
  <c r="F7" i="1"/>
  <c r="F11" i="1"/>
  <c r="F13" i="1"/>
  <c r="F8" i="1"/>
  <c r="F14" i="1"/>
  <c r="F17" i="1"/>
  <c r="F6" i="1"/>
  <c r="F9" i="1"/>
  <c r="F19" i="1"/>
  <c r="F4" i="1"/>
  <c r="J15" i="1"/>
  <c r="J10" i="1"/>
  <c r="J5" i="1"/>
  <c r="J2" i="1"/>
  <c r="J18" i="1"/>
  <c r="J16" i="1"/>
  <c r="J3" i="1"/>
  <c r="J7" i="1"/>
  <c r="J11" i="1"/>
  <c r="J13" i="1"/>
  <c r="J8" i="1"/>
  <c r="J14" i="1"/>
  <c r="J17" i="1"/>
  <c r="J6" i="1"/>
  <c r="J9" i="1"/>
  <c r="J19" i="1"/>
  <c r="J4" i="1"/>
  <c r="I10" i="1"/>
  <c r="I5" i="1"/>
  <c r="I2" i="1"/>
  <c r="I18" i="1"/>
  <c r="I16" i="1"/>
  <c r="I3" i="1"/>
  <c r="I7" i="1"/>
  <c r="I11" i="1"/>
  <c r="I13" i="1"/>
  <c r="I8" i="1"/>
  <c r="I14" i="1"/>
  <c r="I17" i="1"/>
  <c r="I6" i="1"/>
  <c r="I9" i="1"/>
  <c r="I19" i="1"/>
  <c r="I4" i="1"/>
  <c r="L12" i="1" l="1"/>
  <c r="K4" i="1"/>
  <c r="L4" i="1" s="1"/>
  <c r="K19" i="1"/>
  <c r="L19" i="1" s="1"/>
  <c r="K9" i="1"/>
  <c r="L9" i="1" s="1"/>
  <c r="K6" i="1"/>
  <c r="M6" i="1" s="1"/>
  <c r="K17" i="1"/>
  <c r="L17" i="1" s="1"/>
  <c r="K14" i="1"/>
  <c r="L14" i="1" s="1"/>
  <c r="K8" i="1"/>
  <c r="M8" i="1" s="1"/>
  <c r="K13" i="1"/>
  <c r="L13" i="1" s="1"/>
  <c r="K11" i="1"/>
  <c r="L11" i="1" s="1"/>
  <c r="K7" i="1"/>
  <c r="M7" i="1" s="1"/>
  <c r="K3" i="1"/>
  <c r="M3" i="1" s="1"/>
  <c r="K16" i="1"/>
  <c r="L16" i="1" s="1"/>
  <c r="K2" i="1"/>
  <c r="M2" i="1" s="1"/>
  <c r="K5" i="1"/>
  <c r="L5" i="1" s="1"/>
  <c r="K10" i="1"/>
  <c r="L10" i="1" s="1"/>
  <c r="K15" i="1"/>
  <c r="M15" i="1" s="1"/>
  <c r="N4" i="1"/>
  <c r="N19" i="1"/>
  <c r="N9" i="1"/>
  <c r="N6" i="1"/>
  <c r="N17" i="1"/>
  <c r="N14" i="1"/>
  <c r="N8" i="1"/>
  <c r="N13" i="1"/>
  <c r="N11" i="1"/>
  <c r="N7" i="1"/>
  <c r="N3" i="1"/>
  <c r="N16" i="1"/>
  <c r="N18" i="1"/>
  <c r="N5" i="1"/>
  <c r="N10" i="1"/>
  <c r="K18" i="1"/>
  <c r="M18" i="1" s="1"/>
  <c r="N15" i="1"/>
  <c r="M4" i="1" l="1"/>
  <c r="M11" i="1"/>
  <c r="L8" i="1"/>
  <c r="M14" i="1"/>
  <c r="M13" i="1"/>
  <c r="L7" i="1"/>
  <c r="M5" i="1"/>
  <c r="M10" i="1"/>
  <c r="L15" i="1"/>
  <c r="M17" i="1"/>
  <c r="L2" i="1"/>
  <c r="M19" i="1"/>
  <c r="L18" i="1"/>
  <c r="M16" i="1"/>
  <c r="L6" i="1"/>
  <c r="M9" i="1"/>
  <c r="L3" i="1"/>
</calcChain>
</file>

<file path=xl/sharedStrings.xml><?xml version="1.0" encoding="utf-8"?>
<sst xmlns="http://schemas.openxmlformats.org/spreadsheetml/2006/main" count="216" uniqueCount="65">
  <si>
    <t>PESO</t>
  </si>
  <si>
    <t>Distância</t>
  </si>
  <si>
    <t>Equipamento</t>
  </si>
  <si>
    <t>Rota</t>
  </si>
  <si>
    <t>Entregas</t>
  </si>
  <si>
    <t>Valor NF</t>
  </si>
  <si>
    <t>TABELA</t>
  </si>
  <si>
    <t>CD/TSP</t>
  </si>
  <si>
    <t>UNIDADE</t>
  </si>
  <si>
    <t>COD.</t>
  </si>
  <si>
    <t>GRUPO</t>
  </si>
  <si>
    <t>LOCALIDADE ROTA</t>
  </si>
  <si>
    <t>TIPOLOGIA</t>
  </si>
  <si>
    <t>SAIDA</t>
  </si>
  <si>
    <t>KM</t>
  </si>
  <si>
    <t>COOPERTRAL / CONCARGA</t>
  </si>
  <si>
    <t>CONTAGEM</t>
  </si>
  <si>
    <t>CD MG</t>
  </si>
  <si>
    <t>FIORINO</t>
  </si>
  <si>
    <t>SEMI-LEVE</t>
  </si>
  <si>
    <t>3/4</t>
  </si>
  <si>
    <t>TOCO</t>
  </si>
  <si>
    <t>TRUCK</t>
  </si>
  <si>
    <t>BI-TRUCK</t>
  </si>
  <si>
    <t>Capacidade Veiculo</t>
  </si>
  <si>
    <t>Diaria</t>
  </si>
  <si>
    <t>Custo Km</t>
  </si>
  <si>
    <t>Custo Saida</t>
  </si>
  <si>
    <t>Custo Total2</t>
  </si>
  <si>
    <t>Valor Frete Nf</t>
  </si>
  <si>
    <t>Frete/Kg</t>
  </si>
  <si>
    <t>Ocupação</t>
  </si>
  <si>
    <t>Capacidade</t>
  </si>
  <si>
    <t>MANHUACU/MURIAE</t>
  </si>
  <si>
    <t>NOVA SERRANA</t>
  </si>
  <si>
    <t>PASSOS/POCOS</t>
  </si>
  <si>
    <t>SUPER 3/4</t>
  </si>
  <si>
    <t>BH DIAMANTE/NOVA LIMA</t>
  </si>
  <si>
    <t>PIRAPORA/JANUARIA/JANAUBA</t>
  </si>
  <si>
    <t>PASSOS/POCOS/ALFENAS</t>
  </si>
  <si>
    <t>SANTANA DO PARAISO/CARATINGA/TEOFILO OTONI</t>
  </si>
  <si>
    <t>ITAUNA/DIVINOPOLIS(2 LOJAS)/BOM DESPACHO/PARA DE MINAS</t>
  </si>
  <si>
    <t>CURVELO/SETE LAGOAS/PEDRO LEOPOLDO/VESPASIANO</t>
  </si>
  <si>
    <t>UBERLANDIA(1 LOJA)/ARAPORA/ITUIUTABA</t>
  </si>
  <si>
    <t>UBERLANDIA (3 LOJAS)/ARAGUARI</t>
  </si>
  <si>
    <t>UBA/LEOPOLDINA/JUIZ DE FORA(2 LOJAS)</t>
  </si>
  <si>
    <t>LAVRAS/TRES PONTAS/CAMPO BELO</t>
  </si>
  <si>
    <t>PATOS DE MINAS (2 LOJAS)/PATROCINIO/MONTE CARMELO/UNAI</t>
  </si>
  <si>
    <t>CONGONHAS/CONSELHEIRO LAFAIETE/BARBACENA/SÃO JOAO DEL REI</t>
  </si>
  <si>
    <t>ARAXA/UBERABA (3 LOJAS)</t>
  </si>
  <si>
    <t>CONTAGEM (3 LOJAS)</t>
  </si>
  <si>
    <t>BETIM( 2 LOJAS)</t>
  </si>
  <si>
    <t>VARGINHA/TRES CORAÇOES/POUSO ALEGRE/EXTREMA</t>
  </si>
  <si>
    <t>MONTES CLAROS (3 LOJAS)</t>
  </si>
  <si>
    <t>BH JAQUELINE/SANTA LUZIA/JOAO MONLEVADE/ITABIRITO</t>
  </si>
  <si>
    <t>Coluna1</t>
  </si>
  <si>
    <t>Coluna2</t>
  </si>
  <si>
    <t>PESO - 5%</t>
  </si>
  <si>
    <t>TRANSPORTADORA COPERTRAL</t>
  </si>
  <si>
    <t>TRANSPORTADORA MAROSO</t>
  </si>
  <si>
    <t>Custo Total</t>
  </si>
  <si>
    <t>Economia utilizando a transportadora com menor custo (Copertral)</t>
  </si>
  <si>
    <t>Coluna3</t>
  </si>
  <si>
    <t>Acrescimo por rota</t>
  </si>
  <si>
    <t>Acrescimo por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</si>
</sst>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72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44" fontId="19" fillId="34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44" fontId="19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36" borderId="0" xfId="0" applyFill="1" applyAlignment="1">
      <alignment horizontal="center" vertical="center"/>
    </xf>
    <xf numFmtId="4" fontId="0" fillId="36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44" fontId="0" fillId="35" borderId="0" xfId="1" applyFont="1" applyFill="1" applyAlignment="1">
      <alignment horizontal="center" vertical="center"/>
    </xf>
    <xf numFmtId="44" fontId="0" fillId="35" borderId="0" xfId="0" applyNumberFormat="1" applyFill="1" applyAlignment="1">
      <alignment horizontal="center" vertical="center"/>
    </xf>
    <xf numFmtId="164" fontId="0" fillId="35" borderId="0" xfId="2" applyNumberFormat="1" applyFont="1" applyFill="1" applyAlignment="1">
      <alignment horizontal="center" vertical="center"/>
    </xf>
    <xf numFmtId="9" fontId="0" fillId="35" borderId="0" xfId="2" applyFont="1" applyFill="1" applyAlignment="1">
      <alignment horizontal="center" vertical="center"/>
    </xf>
    <xf numFmtId="164" fontId="0" fillId="37" borderId="0" xfId="2" applyNumberFormat="1" applyFont="1" applyFill="1" applyAlignment="1">
      <alignment horizontal="center" vertical="center"/>
    </xf>
    <xf numFmtId="9" fontId="0" fillId="37" borderId="0" xfId="2" applyFont="1" applyFill="1" applyAlignment="1">
      <alignment horizontal="center" vertical="center"/>
    </xf>
    <xf numFmtId="165" fontId="0" fillId="37" borderId="0" xfId="0" applyNumberFormat="1" applyFill="1" applyAlignment="1">
      <alignment horizontal="center" vertical="center"/>
    </xf>
    <xf numFmtId="165" fontId="0" fillId="37" borderId="0" xfId="1" applyNumberFormat="1" applyFont="1" applyFill="1" applyAlignment="1">
      <alignment horizontal="center" vertical="center"/>
    </xf>
    <xf numFmtId="1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7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6" borderId="0" xfId="0" applyFill="1" applyAlignment="1">
      <alignment horizontal="left" vertical="center"/>
    </xf>
    <xf numFmtId="2" fontId="0" fillId="0" borderId="0" xfId="0" applyNumberFormat="1"/>
    <xf numFmtId="165" fontId="0" fillId="0" borderId="0" xfId="0" applyNumberFormat="1"/>
    <xf numFmtId="44" fontId="0" fillId="0" borderId="0" xfId="1" applyFont="1"/>
    <xf numFmtId="0" fontId="21" fillId="38" borderId="0" xfId="0" applyFont="1" applyFill="1" applyAlignment="1">
      <alignment horizontal="center" vertical="center"/>
    </xf>
    <xf numFmtId="44" fontId="13" fillId="39" borderId="12" xfId="1" applyNumberFormat="1" applyFont="1" applyFill="1" applyBorder="1"/>
    <xf numFmtId="44" fontId="0" fillId="0" borderId="0" xfId="0" applyNumberFormat="1" applyFont="1"/>
    <xf numFmtId="10" fontId="0" fillId="0" borderId="0" xfId="0" applyNumberFormat="1" applyFont="1"/>
    <xf numFmtId="0" fontId="0" fillId="40" borderId="13" xfId="0" applyFill="1" applyBorder="1" applyAlignment="1">
      <alignment horizontal="center"/>
    </xf>
    <xf numFmtId="44" fontId="0" fillId="41" borderId="0" xfId="0" applyNumberFormat="1" applyFill="1"/>
    <xf numFmtId="2" fontId="0" fillId="41" borderId="0" xfId="0" applyNumberFormat="1" applyFill="1"/>
    <xf numFmtId="44" fontId="0" fillId="41" borderId="0" xfId="0" applyNumberFormat="1" applyFill="1" applyAlignment="1">
      <alignment horizontal="center"/>
    </xf>
    <xf numFmtId="2" fontId="0" fillId="0" borderId="0" xfId="0" applyNumberFormat="1" applyFont="1"/>
    <xf numFmtId="0" fontId="21" fillId="38" borderId="0" xfId="0" applyNumberFormat="1" applyFont="1" applyFill="1" applyAlignment="1">
      <alignment horizontal="center" vertical="center"/>
    </xf>
    <xf numFmtId="0" fontId="0" fillId="0" borderId="0" xfId="0" applyNumberFormat="1" applyFont="1"/>
    <xf numFmtId="2" fontId="0" fillId="42" borderId="0" xfId="0" applyNumberFormat="1" applyFill="1"/>
    <xf numFmtId="2" fontId="13" fillId="33" borderId="15" xfId="0" applyNumberFormat="1" applyFont="1" applyFill="1" applyBorder="1"/>
    <xf numFmtId="2" fontId="0" fillId="0" borderId="14" xfId="0" applyNumberFormat="1" applyBorder="1"/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numFmt numFmtId="165" formatCode="&quot;R$&quot;\ #,##0.0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numFmt numFmtId="165" formatCode="&quot;R$&quot;\ #,##0.0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numFmt numFmtId="165" formatCode="&quot;R$&quot;\ #,##0.0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2" formatCode="0.0"/>
      <alignment horizontal="center" vertical="center" textRotation="0" wrapText="0" indent="0" justifyLastLine="0" shrinkToFit="0" readingOrder="0"/>
    </dxf>
    <dxf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6" formatCode="_-&quot;R$&quot;\ * #,##0.0000_-;\-&quot;R$&quot;\ * #,##0.00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88AD3-12C2-4F58-87C5-4FFCF29EA536}" name="Tabela1" displayName="Tabela1" ref="A1:O19" headerRowDxfId="52" dataDxfId="50" totalsRowDxfId="51">
  <sortState xmlns:xlrd2="http://schemas.microsoft.com/office/spreadsheetml/2017/richdata2" ref="A2:N19">
    <sortCondition ref="C1:C19"/>
  </sortState>
  <tableColumns count="15">
    <tableColumn id="1" xr3:uid="{33ED1434-6F87-4154-89B0-41C59464C2D2}" name="Rota" dataDxfId="34"/>
    <tableColumn id="2" xr3:uid="{936AEFA2-1252-4E77-9A99-4F508A1CDE8B}" name="Entregas" dataDxfId="35"/>
    <tableColumn id="3" xr3:uid="{FE78FE0A-C66D-4A48-8151-10764E62C3DB}" name="PESO" totalsRowFunction="custom" dataDxfId="65">
      <totalsRowFormula>SUM(Tabela1[PESO])</totalsRowFormula>
    </tableColumn>
    <tableColumn id="4" xr3:uid="{A5211D7C-2141-4CF9-8F75-995EA86D0B23}" name="Distância" totalsRowFunction="custom" dataDxfId="64" totalsRowDxfId="76">
      <totalsRowFormula>SUM(Tabela1[Distância])</totalsRowFormula>
    </tableColumn>
    <tableColumn id="5" xr3:uid="{C17B5AB1-6D48-4886-BA65-7E82311C26AC}" name="Equipamento" totalsRowFunction="custom" dataDxfId="63" totalsRowDxfId="75">
      <totalsRowFormula>SUM(Tabela1[Equipamento])</totalsRowFormula>
    </tableColumn>
    <tableColumn id="17" xr3:uid="{0DF336DC-25DA-408E-8A3D-80515FD588EE}" name="Capacidade" totalsRowFunction="custom" dataDxfId="62" totalsRowDxfId="74">
      <calculatedColumnFormula>VLOOKUP($E:$E,Planilha1!G:J,4,0)</calculatedColumnFormula>
      <totalsRowFormula>SUM(Tabela1[Capacidade])</totalsRowFormula>
    </tableColumn>
    <tableColumn id="8" xr3:uid="{C1453FC4-20ED-4ADF-8209-C83D368F452C}" name="Valor NF" totalsRowFunction="custom" dataDxfId="61" totalsRowDxfId="73">
      <totalsRowFormula>SUM(Tabela1[Valor NF])</totalsRowFormula>
    </tableColumn>
    <tableColumn id="9" xr3:uid="{7C42D5A3-E024-417B-8299-CCCC842407ED}" name="Diaria" totalsRowFunction="custom" dataDxfId="60" totalsRowDxfId="72">
      <calculatedColumnFormula>Tabela1[[#This Row],[Entregas]]-1</calculatedColumnFormula>
      <totalsRowFormula>SUM(Tabela1[Diaria])</totalsRowFormula>
    </tableColumn>
    <tableColumn id="10" xr3:uid="{AF3AABA0-074A-4859-AE3D-ED71AA0C7BF4}" name="Custo Km" totalsRowFunction="custom" dataDxfId="59" totalsRowDxfId="71">
      <calculatedColumnFormula>VLOOKUP(Tabela1[[#This Row],[Equipamento]],Planilha1!$G$1:$H$8,2,0)</calculatedColumnFormula>
      <totalsRowFormula>SUM(Tabela1[Custo Km])</totalsRowFormula>
    </tableColumn>
    <tableColumn id="11" xr3:uid="{4970C571-41BB-4AE5-9F35-69C0C5F782B4}" name="Custo Saida" totalsRowFunction="custom" dataDxfId="58" totalsRowDxfId="70" dataCellStyle="Moeda">
      <calculatedColumnFormula>VLOOKUP(Tabela1[[#This Row],[Equipamento]],Planilha1!G:J,3,0)</calculatedColumnFormula>
      <totalsRowFormula>SUM(Tabela1[Custo Saida])</totalsRowFormula>
    </tableColumn>
    <tableColumn id="12" xr3:uid="{C1E3D209-A910-4E9C-98C0-007552598149}" name="Custo Total2" totalsRowFunction="custom" dataDxfId="57" totalsRowDxfId="69">
      <calculatedColumnFormula>(Tabela1[[#This Row],[Custo Km]]*Tabela1[[#This Row],[Distância]])+(Tabela1[[#This Row],[Custo Saida]]*Tabela1[[#This Row],[Diaria]])+(Tabela1[[#This Row],[Custo Saida]])</calculatedColumnFormula>
      <totalsRowFormula>SUM(Tabela1[Custo Total2])</totalsRowFormula>
    </tableColumn>
    <tableColumn id="13" xr3:uid="{5EB39AD0-8DF4-4E4B-B06F-4950E66B56A5}" name="Valor Frete Nf" totalsRowFunction="custom" dataDxfId="56" totalsRowDxfId="68" dataCellStyle="Porcentagem">
      <calculatedColumnFormula>Tabela1[[#This Row],[Custo Total2]]/Tabela1[[#This Row],[Valor NF]]</calculatedColumnFormula>
      <totalsRowFormula>Tabela1[[#Totals],[Custo Total2]]/Tabela1[[#Totals],[Valor NF]]</totalsRowFormula>
    </tableColumn>
    <tableColumn id="14" xr3:uid="{3081C82E-A1E7-4058-892D-3B2335CCD2AA}" name="Frete/Kg" totalsRowFunction="custom" dataDxfId="55" totalsRowDxfId="67">
      <calculatedColumnFormula>Tabela1[[#This Row],[Custo Total2]]/Tabela1[[#This Row],[PESO]]</calculatedColumnFormula>
      <totalsRowFormula>Tabela1[[#Totals],[Custo Total2]]/Tabela1[[#Totals],[PESO]]</totalsRowFormula>
    </tableColumn>
    <tableColumn id="15" xr3:uid="{D33DE0A2-E148-4D7E-959E-67A8C9BBD893}" name="Ocupação" totalsRowFunction="custom" dataDxfId="54" totalsRowDxfId="66" dataCellStyle="Porcentagem">
      <calculatedColumnFormula>Tabela1[[#This Row],[PESO]]/Tabela1[[#This Row],[Capacidade]]</calculatedColumnFormula>
      <totalsRowFormula>Tabela1[[#Totals],[PESO]]/Tabela1[[#Totals],[Capacidade]]</totalsRowFormula>
    </tableColumn>
    <tableColumn id="6" xr3:uid="{E0308113-0BF4-461F-8DE4-88684A2BC009}" name="PESO - 5%" dataDxfId="53">
      <calculatedColumnFormula>Tabela1[[#This Row],[PESO]]*(1-5%)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E8BC1-1467-4804-AF7F-3782F2EF7D78}" name="Tabela2" displayName="Tabela2" ref="A42:N45" totalsRowShown="0" headerRowDxfId="37" dataDxfId="36">
  <tableColumns count="14">
    <tableColumn id="1" xr3:uid="{920BE129-8CF3-499B-941A-2DCEF6F947F2}" name="Rota" dataDxfId="32"/>
    <tableColumn id="2" xr3:uid="{77CB4825-5545-4B3A-9AAE-9AE298251A79}" name="Entregas" dataDxfId="33"/>
    <tableColumn id="3" xr3:uid="{6C76F4EF-5961-484A-9530-68253CCE0C53}" name="PESO" dataDxfId="49"/>
    <tableColumn id="4" xr3:uid="{3BCF2676-B8A0-4753-88CB-DC993BF9D778}" name="Distância" dataDxfId="48"/>
    <tableColumn id="5" xr3:uid="{33D09808-130A-432D-A381-36A2E4ABEA54}" name="Equipamento" dataDxfId="47"/>
    <tableColumn id="6" xr3:uid="{00096868-F518-4796-B98B-3B743C08C304}" name="Capacidade" dataDxfId="46"/>
    <tableColumn id="7" xr3:uid="{40B9FA81-018D-48F3-A3F4-509E1A408894}" name="Valor NF" dataDxfId="45"/>
    <tableColumn id="8" xr3:uid="{55251A56-0634-4FE9-9AFD-AB10B5808793}" name="Diaria" dataDxfId="44"/>
    <tableColumn id="9" xr3:uid="{D9103C39-20B6-420D-A3CD-850DC784E76A}" name="Custo Km" dataDxfId="43"/>
    <tableColumn id="10" xr3:uid="{FEA14195-C479-45DE-AE2C-A11D6E45BEC4}" name="Custo Saida" dataDxfId="42" dataCellStyle="Moeda"/>
    <tableColumn id="11" xr3:uid="{F1F779F0-3EFC-4110-A4B0-CFBB97F7A669}" name="Custo Total2" dataDxfId="41"/>
    <tableColumn id="12" xr3:uid="{D3138A16-664F-48E4-9F0F-2111D86A105F}" name="Valor Frete Nf" dataDxfId="40" dataCellStyle="Porcentagem"/>
    <tableColumn id="13" xr3:uid="{31610869-D031-4148-9B8E-18A236552D19}" name="Frete/Kg" dataDxfId="39"/>
    <tableColumn id="14" xr3:uid="{62F2C74C-56DD-4F1E-9885-12A548B7564F}" name="Ocupação" dataDxfId="38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72818F-189E-4283-9699-A8C5199BD6BF}" name="Tabela3" displayName="Tabela3" ref="A2:O21" totalsRowCount="1">
  <autoFilter ref="A2:O20" xr:uid="{2C72818F-189E-4283-9699-A8C5199BD6BF}"/>
  <tableColumns count="15">
    <tableColumn id="1" xr3:uid="{EF1729BA-5A81-4425-902F-8E7E227F7993}" name="Rota"/>
    <tableColumn id="2" xr3:uid="{733976D9-7A14-4FEE-9D1B-6F34AF00424E}" name="Entregas"/>
    <tableColumn id="3" xr3:uid="{725AED36-8250-4190-A8AA-78BC324AC843}" name="PESO" totalsRowFunction="sum" dataDxfId="28" totalsRowDxfId="12"/>
    <tableColumn id="4" xr3:uid="{9E34A876-C96F-40F4-B723-770FCB9948DB}" name="Distância" totalsRowFunction="sum" dataDxfId="27" totalsRowDxfId="11"/>
    <tableColumn id="5" xr3:uid="{3A321079-D016-48BA-B320-4A47476C11A7}" name="Equipamento" totalsRowDxfId="10"/>
    <tableColumn id="6" xr3:uid="{BC197652-612D-4B93-8F65-C6AA751C61EB}" name="Capacidade" totalsRowDxfId="9"/>
    <tableColumn id="7" xr3:uid="{5A7ADFBA-8238-4B20-913B-B71EC9D83E07}" name="Diaria" totalsRowFunction="sum" totalsRowDxfId="8"/>
    <tableColumn id="8" xr3:uid="{7ACA13A4-3C8B-44DD-B278-BA7916D3F8A8}" name="Custo Km" totalsRowFunction="custom" totalsRowDxfId="7" dataCellStyle="Moeda">
      <totalsRowFormula>AVERAGE(Tabela3[Custo Km])</totalsRowFormula>
    </tableColumn>
    <tableColumn id="9" xr3:uid="{0F4E5CF9-58FD-4D5A-893D-30F2C40A82E8}" name="Custo Saida" totalsRowFunction="sum" dataDxfId="29" totalsRowDxfId="6"/>
    <tableColumn id="10" xr3:uid="{7EBE6A12-4A27-4D80-9D7C-B022D4E65501}" name="Custo Total2" totalsRowFunction="sum" dataDxfId="30" totalsRowDxfId="5"/>
    <tableColumn id="11" xr3:uid="{63B686A0-F733-4A18-9F18-46C954EF0342}" name="Frete/Kg" totalsRowFunction="custom" dataDxfId="31" totalsRowDxfId="4">
      <totalsRowFormula>AVERAGE(Tabela3[Frete/Kg])</totalsRowFormula>
    </tableColumn>
    <tableColumn id="12" xr3:uid="{90B7902C-C1D8-40DD-88ED-8CEE1955DD8C}" name="Ocupação" totalsRowFunction="custom" dataDxfId="15" totalsRowDxfId="3">
      <totalsRowFormula>AVERAGE(Tabela3[Ocupação])</totalsRowFormula>
    </tableColumn>
    <tableColumn id="15" xr3:uid="{C607DBB9-E85A-410A-B2E7-B3732A25FB9F}" name="Coluna3" dataDxfId="13" totalsRowDxfId="2"/>
    <tableColumn id="13" xr3:uid="{DEF95EE5-E51B-4E95-A68A-9BB5DA605A1F}" name="Coluna1" dataDxfId="14" totalsRowDxfId="1">
      <calculatedColumnFormula>Tabela3[[#This Row],[Capacidade]]-Tabela3[[#This Row],[PESO]]</calculatedColumnFormula>
    </tableColumn>
    <tableColumn id="14" xr3:uid="{42B15F25-5115-4A5C-85BF-D5969F0FC27E}" name="Coluna2" dataDxfId="16" totalsRowDxfId="0">
      <calculatedColumnFormula>Tabela3[[#This Row],[Coluna1]]/Tabela3[[#This Row],[Entregas]]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82B630-DA2A-4BA6-A01B-F5588770E856}" name="Tabela5" displayName="Tabela5" ref="A26:L45" totalsRowCount="1">
  <autoFilter ref="A26:L44" xr:uid="{2A82B630-DA2A-4BA6-A01B-F5588770E856}"/>
  <tableColumns count="12">
    <tableColumn id="1" xr3:uid="{D1BF26AB-B1CA-4311-B3AB-DCB00CD21FA8}" name="Rota"/>
    <tableColumn id="2" xr3:uid="{2CC32A24-F57B-4B34-8C41-DFB90E64FB0D}" name="Entregas"/>
    <tableColumn id="3" xr3:uid="{B06711A5-175A-478B-B5C4-34804E839818}" name="PESO" totalsRowFunction="sum" dataDxfId="26" totalsRowDxfId="23"/>
    <tableColumn id="4" xr3:uid="{CA9773D0-1B3B-460F-B020-23C13E12E368}" name="Distância" totalsRowFunction="sum" dataDxfId="25" totalsRowDxfId="22"/>
    <tableColumn id="5" xr3:uid="{585BDDD6-2D13-4324-A899-50E80E6E2B6A}" name="Equipamento"/>
    <tableColumn id="6" xr3:uid="{97467695-8695-4543-AE57-57F79DA1C4AA}" name="Capacidade"/>
    <tableColumn id="7" xr3:uid="{CA7D1EA3-ECA3-4578-A8B5-392EC84019D2}" name="Diaria" totalsRowFunction="sum"/>
    <tableColumn id="8" xr3:uid="{E1E5475B-7D55-41DD-BBD9-3FAF9FCB06F1}" name="Custo Km" totalsRowFunction="custom" totalsRowDxfId="21" dataCellStyle="Moeda">
      <totalsRowFormula>AVERAGE(Tabela5[Custo Km])</totalsRowFormula>
    </tableColumn>
    <tableColumn id="9" xr3:uid="{58E66289-2F4D-4705-B158-D659C7531184}" name="Custo Saida" totalsRowFunction="sum" totalsRowDxfId="20" dataCellStyle="Moeda"/>
    <tableColumn id="10" xr3:uid="{ED780654-A2E3-4519-95C8-D6C81A87794D}" name="Custo Total2" totalsRowFunction="sum" totalsRowDxfId="19" dataCellStyle="Moeda"/>
    <tableColumn id="11" xr3:uid="{4863BE2E-47BE-446C-9A4C-889329D512BC}" name="Frete/Kg" totalsRowFunction="custom" totalsRowDxfId="18" dataCellStyle="Moeda">
      <totalsRowFormula>AVERAGE(Tabela5[Frete/Kg])</totalsRowFormula>
    </tableColumn>
    <tableColumn id="12" xr3:uid="{7442FC9D-83A2-4BC9-9F2F-9390DBBBC212}" name="Ocupação" totalsRowFunction="custom" dataDxfId="24" totalsRowDxfId="17">
      <totalsRowFormula>AVERAGE(Tabela5[Ocupação])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2EC6-F454-439A-BC29-D234FA423DC1}">
  <dimension ref="A1:J8"/>
  <sheetViews>
    <sheetView tabSelected="1" workbookViewId="0">
      <selection activeCell="F21" sqref="F21"/>
    </sheetView>
  </sheetViews>
  <sheetFormatPr defaultRowHeight="14.5" x14ac:dyDescent="0.35"/>
  <cols>
    <col min="1" max="1" width="21.54296875" bestFit="1" customWidth="1"/>
    <col min="2" max="2" width="9.81640625" bestFit="1" customWidth="1"/>
    <col min="3" max="3" width="8.1796875" bestFit="1" customWidth="1"/>
    <col min="4" max="4" width="4.81640625" bestFit="1" customWidth="1"/>
    <col min="5" max="5" width="6.54296875" bestFit="1" customWidth="1"/>
    <col min="6" max="6" width="15.7265625" bestFit="1" customWidth="1"/>
    <col min="7" max="7" width="9.453125" bestFit="1" customWidth="1"/>
    <col min="8" max="8" width="8" bestFit="1" customWidth="1"/>
    <col min="9" max="9" width="11.453125" bestFit="1" customWidth="1"/>
    <col min="10" max="10" width="16" bestFit="1" customWidth="1"/>
  </cols>
  <sheetData>
    <row r="1" spans="1:10" x14ac:dyDescent="0.35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24</v>
      </c>
    </row>
    <row r="2" spans="1:10" x14ac:dyDescent="0.35">
      <c r="A2" s="3" t="s">
        <v>15</v>
      </c>
      <c r="B2" s="4" t="s">
        <v>16</v>
      </c>
      <c r="C2" s="4" t="s">
        <v>17</v>
      </c>
      <c r="D2" s="4">
        <v>60</v>
      </c>
      <c r="E2" s="4">
        <v>28</v>
      </c>
      <c r="F2" s="4">
        <v>78</v>
      </c>
      <c r="G2" s="4" t="s">
        <v>18</v>
      </c>
      <c r="H2" s="5">
        <v>1.03</v>
      </c>
      <c r="I2" s="5">
        <v>297</v>
      </c>
      <c r="J2" s="4">
        <v>500</v>
      </c>
    </row>
    <row r="3" spans="1:10" x14ac:dyDescent="0.35">
      <c r="A3" s="6" t="s">
        <v>15</v>
      </c>
      <c r="B3" s="7" t="s">
        <v>16</v>
      </c>
      <c r="C3" s="7" t="s">
        <v>17</v>
      </c>
      <c r="D3" s="7">
        <v>60</v>
      </c>
      <c r="E3" s="7">
        <v>28</v>
      </c>
      <c r="F3" s="7">
        <v>78</v>
      </c>
      <c r="G3" s="7" t="s">
        <v>19</v>
      </c>
      <c r="H3" s="8">
        <v>1.5</v>
      </c>
      <c r="I3" s="8">
        <v>500</v>
      </c>
      <c r="J3" s="7">
        <v>1500</v>
      </c>
    </row>
    <row r="4" spans="1:10" x14ac:dyDescent="0.35">
      <c r="A4" s="6" t="s">
        <v>15</v>
      </c>
      <c r="B4" s="7" t="s">
        <v>16</v>
      </c>
      <c r="C4" s="7" t="s">
        <v>17</v>
      </c>
      <c r="D4" s="7">
        <v>60</v>
      </c>
      <c r="E4" s="7">
        <v>28</v>
      </c>
      <c r="F4" s="7">
        <v>78</v>
      </c>
      <c r="G4" s="7" t="s">
        <v>20</v>
      </c>
      <c r="H4" s="8">
        <v>2.68</v>
      </c>
      <c r="I4" s="8">
        <v>1000</v>
      </c>
      <c r="J4" s="7">
        <v>3500</v>
      </c>
    </row>
    <row r="5" spans="1:10" x14ac:dyDescent="0.35">
      <c r="A5" s="3" t="s">
        <v>15</v>
      </c>
      <c r="B5" s="4" t="s">
        <v>16</v>
      </c>
      <c r="C5" s="4" t="s">
        <v>17</v>
      </c>
      <c r="D5" s="4">
        <v>60</v>
      </c>
      <c r="E5" s="4">
        <v>28</v>
      </c>
      <c r="F5" s="4">
        <v>78</v>
      </c>
      <c r="G5" s="4" t="s">
        <v>36</v>
      </c>
      <c r="H5" s="5">
        <v>2.78</v>
      </c>
      <c r="I5" s="5">
        <v>1075</v>
      </c>
      <c r="J5" s="4">
        <v>5000</v>
      </c>
    </row>
    <row r="6" spans="1:10" x14ac:dyDescent="0.35">
      <c r="A6" s="3" t="s">
        <v>15</v>
      </c>
      <c r="B6" s="4" t="s">
        <v>16</v>
      </c>
      <c r="C6" s="4" t="s">
        <v>17</v>
      </c>
      <c r="D6" s="4">
        <v>60</v>
      </c>
      <c r="E6" s="4">
        <v>28</v>
      </c>
      <c r="F6" s="4">
        <v>78</v>
      </c>
      <c r="G6" s="4" t="s">
        <v>21</v>
      </c>
      <c r="H6" s="5">
        <v>3.6</v>
      </c>
      <c r="I6" s="5">
        <v>1295</v>
      </c>
      <c r="J6" s="4">
        <v>6000</v>
      </c>
    </row>
    <row r="7" spans="1:10" x14ac:dyDescent="0.35">
      <c r="A7" s="6" t="s">
        <v>15</v>
      </c>
      <c r="B7" s="7" t="s">
        <v>16</v>
      </c>
      <c r="C7" s="7" t="s">
        <v>17</v>
      </c>
      <c r="D7" s="7">
        <v>60</v>
      </c>
      <c r="E7" s="7">
        <v>28</v>
      </c>
      <c r="F7" s="7">
        <v>78</v>
      </c>
      <c r="G7" s="7" t="s">
        <v>22</v>
      </c>
      <c r="H7" s="8">
        <v>4.5999999999999996</v>
      </c>
      <c r="I7" s="8">
        <v>1535</v>
      </c>
      <c r="J7" s="7">
        <v>11000</v>
      </c>
    </row>
    <row r="8" spans="1:10" x14ac:dyDescent="0.35">
      <c r="A8" s="3" t="s">
        <v>15</v>
      </c>
      <c r="B8" s="4" t="s">
        <v>16</v>
      </c>
      <c r="C8" s="4" t="s">
        <v>17</v>
      </c>
      <c r="D8" s="4">
        <v>60</v>
      </c>
      <c r="E8" s="4">
        <v>28</v>
      </c>
      <c r="F8" s="4">
        <v>78</v>
      </c>
      <c r="G8" s="4" t="s">
        <v>23</v>
      </c>
      <c r="H8" s="5">
        <v>5.0999999999999996</v>
      </c>
      <c r="I8" s="5">
        <v>2000</v>
      </c>
      <c r="J8" s="4">
        <v>16000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33D2-78BA-4F55-B1EC-B3D33EBF5A33}">
  <dimension ref="A1:O45"/>
  <sheetViews>
    <sheetView showGridLines="0" workbookViewId="0">
      <selection activeCell="B24" sqref="B24"/>
    </sheetView>
  </sheetViews>
  <sheetFormatPr defaultRowHeight="14.5" x14ac:dyDescent="0.35"/>
  <cols>
    <col min="1" max="1" width="61.453125" style="29" bestFit="1" customWidth="1"/>
    <col min="2" max="2" width="10.81640625" style="9" bestFit="1" customWidth="1"/>
    <col min="3" max="3" width="8.1796875" style="9" bestFit="1" customWidth="1"/>
    <col min="4" max="4" width="11.26953125" style="9" bestFit="1" customWidth="1"/>
    <col min="5" max="5" width="12.6328125" style="9" customWidth="1"/>
    <col min="6" max="6" width="15.1796875" style="9" hidden="1" customWidth="1"/>
    <col min="7" max="7" width="12.6328125" style="9" hidden="1" customWidth="1"/>
    <col min="8" max="8" width="7.36328125" style="9" customWidth="1"/>
    <col min="9" max="9" width="11.54296875" style="9" bestFit="1" customWidth="1"/>
    <col min="10" max="10" width="13.90625" style="10" customWidth="1"/>
    <col min="11" max="11" width="14.1796875" style="9" hidden="1" customWidth="1"/>
    <col min="12" max="12" width="17.453125" style="11" hidden="1" customWidth="1"/>
    <col min="13" max="13" width="10.54296875" style="9" bestFit="1" customWidth="1"/>
    <col min="14" max="14" width="11.81640625" style="12" bestFit="1" customWidth="1"/>
    <col min="15" max="15" width="12.26953125" style="25" hidden="1" customWidth="1"/>
    <col min="16" max="16384" width="8.7265625" style="9"/>
  </cols>
  <sheetData>
    <row r="1" spans="1:15" x14ac:dyDescent="0.35">
      <c r="A1" s="29" t="s">
        <v>3</v>
      </c>
      <c r="B1" s="9" t="s">
        <v>4</v>
      </c>
      <c r="C1" s="9" t="s">
        <v>0</v>
      </c>
      <c r="D1" s="9" t="s">
        <v>1</v>
      </c>
      <c r="E1" s="9" t="s">
        <v>2</v>
      </c>
      <c r="F1" s="9" t="s">
        <v>32</v>
      </c>
      <c r="G1" s="9" t="s">
        <v>5</v>
      </c>
      <c r="H1" s="9" t="s">
        <v>25</v>
      </c>
      <c r="I1" s="9" t="s">
        <v>26</v>
      </c>
      <c r="J1" s="10" t="s">
        <v>27</v>
      </c>
      <c r="K1" s="9" t="s">
        <v>28</v>
      </c>
      <c r="L1" s="11" t="s">
        <v>29</v>
      </c>
      <c r="M1" s="9" t="s">
        <v>30</v>
      </c>
      <c r="N1" s="12" t="s">
        <v>31</v>
      </c>
      <c r="O1" s="25" t="s">
        <v>57</v>
      </c>
    </row>
    <row r="2" spans="1:15" x14ac:dyDescent="0.35">
      <c r="A2" s="29" t="s">
        <v>38</v>
      </c>
      <c r="B2" s="9">
        <v>3</v>
      </c>
      <c r="C2" s="9">
        <v>1987.4569999999999</v>
      </c>
      <c r="D2" s="28">
        <v>1505.08</v>
      </c>
      <c r="E2" s="13" t="s">
        <v>20</v>
      </c>
      <c r="F2" s="13">
        <f>VLOOKUP($E:$E,Planilha1!G:J,4,0)</f>
        <v>3500</v>
      </c>
      <c r="G2" s="14">
        <v>97082.63</v>
      </c>
      <c r="H2" s="13">
        <f>Tabela1[[#This Row],[Entregas]]-1</f>
        <v>2</v>
      </c>
      <c r="I2" s="15">
        <f>VLOOKUP(Tabela1[[#This Row],[Equipamento]],Planilha1!$G$1:$H$8,2,0)</f>
        <v>2.68</v>
      </c>
      <c r="J2" s="16">
        <f>VLOOKUP(Tabela1[[#This Row],[Equipamento]],Planilha1!G:J,3,0)</f>
        <v>1000</v>
      </c>
      <c r="K2" s="17">
        <f>(Tabela1[[#This Row],[Custo Km]]*Tabela1[[#This Row],[Distância]])+(Tabela1[[#This Row],[Custo Saida]]*Tabela1[[#This Row],[Diaria]])+(Tabela1[[#This Row],[Custo Saida]])</f>
        <v>7033.6144000000004</v>
      </c>
      <c r="L2" s="18">
        <f>Tabela1[[#This Row],[Custo Total2]]/Tabela1[[#This Row],[Valor NF]]</f>
        <v>7.2449771910793923E-2</v>
      </c>
      <c r="M2" s="17">
        <f>Tabela1[[#This Row],[Custo Total2]]/Tabela1[[#This Row],[PESO]]</f>
        <v>3.539002051365137</v>
      </c>
      <c r="N2" s="19">
        <f>Tabela1[[#This Row],[PESO]]/Tabela1[[#This Row],[Capacidade]]</f>
        <v>0.56784485714285715</v>
      </c>
      <c r="O2" s="27">
        <f>Tabela1[[#This Row],[PESO]]*(1-5%)</f>
        <v>1888.0841499999999</v>
      </c>
    </row>
    <row r="3" spans="1:15" x14ac:dyDescent="0.35">
      <c r="A3" s="29" t="s">
        <v>40</v>
      </c>
      <c r="B3" s="9">
        <v>3</v>
      </c>
      <c r="C3" s="9">
        <v>2080.3384999999998</v>
      </c>
      <c r="D3" s="28">
        <v>1020.76</v>
      </c>
      <c r="E3" s="13" t="s">
        <v>20</v>
      </c>
      <c r="F3" s="13">
        <f>VLOOKUP($E:$E,Planilha1!G:J,4,0)</f>
        <v>3500</v>
      </c>
      <c r="G3" s="14">
        <v>129390.57</v>
      </c>
      <c r="H3" s="13">
        <f>Tabela1[[#This Row],[Entregas]]-1</f>
        <v>2</v>
      </c>
      <c r="I3" s="15">
        <f>VLOOKUP(Tabela1[[#This Row],[Equipamento]],Planilha1!$G$1:$H$8,2,0)</f>
        <v>2.68</v>
      </c>
      <c r="J3" s="16">
        <f>VLOOKUP(Tabela1[[#This Row],[Equipamento]],Planilha1!G:J,3,0)</f>
        <v>1000</v>
      </c>
      <c r="K3" s="17">
        <f>(Tabela1[[#This Row],[Custo Km]]*Tabela1[[#This Row],[Distância]])+(Tabela1[[#This Row],[Custo Saida]]*Tabela1[[#This Row],[Diaria]])+(Tabela1[[#This Row],[Custo Saida]])</f>
        <v>5735.6368000000002</v>
      </c>
      <c r="L3" s="18">
        <f>Tabela1[[#This Row],[Custo Total2]]/Tabela1[[#This Row],[Valor NF]]</f>
        <v>4.4328089751826581E-2</v>
      </c>
      <c r="M3" s="17">
        <f>Tabela1[[#This Row],[Custo Total2]]/Tabela1[[#This Row],[PESO]]</f>
        <v>2.7570690058372715</v>
      </c>
      <c r="N3" s="19">
        <f>Tabela1[[#This Row],[PESO]]/Tabela1[[#This Row],[Capacidade]]</f>
        <v>0.59438242857142853</v>
      </c>
      <c r="O3" s="27">
        <f>Tabela1[[#This Row],[PESO]]*(1-5%)</f>
        <v>1976.3215749999997</v>
      </c>
    </row>
    <row r="4" spans="1:15" x14ac:dyDescent="0.35">
      <c r="A4" s="29" t="s">
        <v>41</v>
      </c>
      <c r="B4" s="9">
        <v>5</v>
      </c>
      <c r="C4" s="9">
        <v>2340.7240000000002</v>
      </c>
      <c r="D4" s="9">
        <v>357.15</v>
      </c>
      <c r="E4" s="13" t="s">
        <v>20</v>
      </c>
      <c r="F4" s="13">
        <f>VLOOKUP($E:$E,Planilha1!G:J,4,0)</f>
        <v>3500</v>
      </c>
      <c r="G4" s="14">
        <v>205139.05</v>
      </c>
      <c r="H4" s="13">
        <f>Tabela1[[#This Row],[Entregas]]-1</f>
        <v>4</v>
      </c>
      <c r="I4" s="15">
        <f>VLOOKUP(Tabela1[[#This Row],[Equipamento]],Planilha1!$G$1:$H$8,2,0)</f>
        <v>2.68</v>
      </c>
      <c r="J4" s="16">
        <f>VLOOKUP(Tabela1[[#This Row],[Equipamento]],Planilha1!G:J,3,0)</f>
        <v>1000</v>
      </c>
      <c r="K4" s="17">
        <f>(Tabela1[[#This Row],[Custo Km]]*Tabela1[[#This Row],[Distância]])+(Tabela1[[#This Row],[Custo Saida]]*Tabela1[[#This Row],[Diaria]])+(Tabela1[[#This Row],[Custo Saida]])</f>
        <v>5957.1620000000003</v>
      </c>
      <c r="L4" s="18">
        <f>Tabela1[[#This Row],[Custo Total2]]/Tabela1[[#This Row],[Valor NF]]</f>
        <v>2.9039629461089931E-2</v>
      </c>
      <c r="M4" s="17">
        <f>Tabela1[[#This Row],[Custo Total2]]/Tabela1[[#This Row],[PESO]]</f>
        <v>2.5450082965783234</v>
      </c>
      <c r="N4" s="19">
        <f>Tabela1[[#This Row],[PESO]]/Tabela1[[#This Row],[Capacidade]]</f>
        <v>0.66877828571428577</v>
      </c>
      <c r="O4" s="27">
        <f>Tabela1[[#This Row],[PESO]]*(1-5%)</f>
        <v>2223.6878000000002</v>
      </c>
    </row>
    <row r="5" spans="1:15" x14ac:dyDescent="0.35">
      <c r="A5" s="29" t="s">
        <v>43</v>
      </c>
      <c r="B5" s="9">
        <v>3</v>
      </c>
      <c r="C5" s="9">
        <v>2356.4749999999999</v>
      </c>
      <c r="D5" s="28">
        <v>1423.32</v>
      </c>
      <c r="E5" s="13" t="s">
        <v>20</v>
      </c>
      <c r="F5" s="13">
        <f>VLOOKUP($E:$E,Planilha1!G:J,4,0)</f>
        <v>3500</v>
      </c>
      <c r="G5" s="14">
        <v>91250.5</v>
      </c>
      <c r="H5" s="13">
        <f>Tabela1[[#This Row],[Entregas]]-1</f>
        <v>2</v>
      </c>
      <c r="I5" s="15">
        <f>VLOOKUP(Tabela1[[#This Row],[Equipamento]],Planilha1!$G$1:$H$8,2,0)</f>
        <v>2.68</v>
      </c>
      <c r="J5" s="16">
        <f>VLOOKUP(Tabela1[[#This Row],[Equipamento]],Planilha1!G:J,3,0)</f>
        <v>1000</v>
      </c>
      <c r="K5" s="17">
        <f>(Tabela1[[#This Row],[Custo Km]]*Tabela1[[#This Row],[Distância]])+(Tabela1[[#This Row],[Custo Saida]]*Tabela1[[#This Row],[Diaria]])+(Tabela1[[#This Row],[Custo Saida]])</f>
        <v>6814.4976000000006</v>
      </c>
      <c r="L5" s="18">
        <f>Tabela1[[#This Row],[Custo Total2]]/Tabela1[[#This Row],[Valor NF]]</f>
        <v>7.4679016553333963E-2</v>
      </c>
      <c r="M5" s="17">
        <f>Tabela1[[#This Row],[Custo Total2]]/Tabela1[[#This Row],[PESO]]</f>
        <v>2.8918183303451133</v>
      </c>
      <c r="N5" s="19">
        <f>Tabela1[[#This Row],[PESO]]/Tabela1[[#This Row],[Capacidade]]</f>
        <v>0.67327857142857139</v>
      </c>
      <c r="O5" s="27">
        <f>Tabela1[[#This Row],[PESO]]*(1-5%)</f>
        <v>2238.6512499999999</v>
      </c>
    </row>
    <row r="6" spans="1:15" x14ac:dyDescent="0.35">
      <c r="A6" s="29" t="s">
        <v>42</v>
      </c>
      <c r="B6" s="9">
        <v>4</v>
      </c>
      <c r="C6" s="9">
        <v>2387.6730000000002</v>
      </c>
      <c r="D6" s="9">
        <v>337.93</v>
      </c>
      <c r="E6" s="13" t="s">
        <v>20</v>
      </c>
      <c r="F6" s="13">
        <f>VLOOKUP($E:$E,Planilha1!G:J,4,0)</f>
        <v>3500</v>
      </c>
      <c r="G6" s="14">
        <v>163849.98000000001</v>
      </c>
      <c r="H6" s="13">
        <f>Tabela1[[#This Row],[Entregas]]-1</f>
        <v>3</v>
      </c>
      <c r="I6" s="15">
        <f>VLOOKUP(Tabela1[[#This Row],[Equipamento]],Planilha1!$G$1:$H$8,2,0)</f>
        <v>2.68</v>
      </c>
      <c r="J6" s="16">
        <f>VLOOKUP(Tabela1[[#This Row],[Equipamento]],Planilha1!G:J,3,0)</f>
        <v>1000</v>
      </c>
      <c r="K6" s="17">
        <f>(Tabela1[[#This Row],[Custo Km]]*Tabela1[[#This Row],[Distância]])+(Tabela1[[#This Row],[Custo Saida]]*Tabela1[[#This Row],[Diaria]])+(Tabela1[[#This Row],[Custo Saida]])</f>
        <v>4905.6523999999999</v>
      </c>
      <c r="L6" s="18">
        <f>Tabela1[[#This Row],[Custo Total2]]/Tabela1[[#This Row],[Valor NF]]</f>
        <v>2.9939902342374407E-2</v>
      </c>
      <c r="M6" s="17">
        <f>Tabela1[[#This Row],[Custo Total2]]/Tabela1[[#This Row],[PESO]]</f>
        <v>2.0545746423400524</v>
      </c>
      <c r="N6" s="19">
        <f>Tabela1[[#This Row],[PESO]]/Tabela1[[#This Row],[Capacidade]]</f>
        <v>0.68219228571428581</v>
      </c>
      <c r="O6" s="27">
        <f>Tabela1[[#This Row],[PESO]]*(1-5%)</f>
        <v>2268.28935</v>
      </c>
    </row>
    <row r="7" spans="1:15" x14ac:dyDescent="0.35">
      <c r="A7" s="29" t="s">
        <v>39</v>
      </c>
      <c r="B7" s="9">
        <v>3</v>
      </c>
      <c r="C7" s="9">
        <v>2570.3865000000001</v>
      </c>
      <c r="D7" s="9">
        <v>972.56</v>
      </c>
      <c r="E7" s="13" t="s">
        <v>20</v>
      </c>
      <c r="F7" s="13">
        <f>VLOOKUP($E:$E,Planilha1!G:J,4,0)</f>
        <v>3500</v>
      </c>
      <c r="G7" s="14">
        <v>133141.49</v>
      </c>
      <c r="H7" s="13">
        <f>Tabela1[[#This Row],[Entregas]]-1</f>
        <v>2</v>
      </c>
      <c r="I7" s="15">
        <f>VLOOKUP(Tabela1[[#This Row],[Equipamento]],Planilha1!$G$1:$H$8,2,0)</f>
        <v>2.68</v>
      </c>
      <c r="J7" s="16">
        <f>VLOOKUP(Tabela1[[#This Row],[Equipamento]],Planilha1!G:J,3,0)</f>
        <v>1000</v>
      </c>
      <c r="K7" s="17">
        <f>(Tabela1[[#This Row],[Custo Km]]*Tabela1[[#This Row],[Distância]])+(Tabela1[[#This Row],[Custo Saida]]*Tabela1[[#This Row],[Diaria]])+(Tabela1[[#This Row],[Custo Saida]])</f>
        <v>5606.4607999999998</v>
      </c>
      <c r="L7" s="18">
        <f>Tabela1[[#This Row],[Custo Total2]]/Tabela1[[#This Row],[Valor NF]]</f>
        <v>4.2109043544578027E-2</v>
      </c>
      <c r="M7" s="17">
        <f>Tabela1[[#This Row],[Custo Total2]]/Tabela1[[#This Row],[PESO]]</f>
        <v>2.1811742319686163</v>
      </c>
      <c r="N7" s="19">
        <f>Tabela1[[#This Row],[PESO]]/Tabela1[[#This Row],[Capacidade]]</f>
        <v>0.73439614285714283</v>
      </c>
      <c r="O7" s="27">
        <f>Tabela1[[#This Row],[PESO]]*(1-5%)</f>
        <v>2441.8671749999999</v>
      </c>
    </row>
    <row r="8" spans="1:15" x14ac:dyDescent="0.35">
      <c r="A8" s="29" t="s">
        <v>44</v>
      </c>
      <c r="B8" s="9">
        <v>4</v>
      </c>
      <c r="C8" s="9">
        <v>2644.8759999999997</v>
      </c>
      <c r="D8" s="28">
        <v>1144.6600000000001</v>
      </c>
      <c r="E8" s="13" t="s">
        <v>20</v>
      </c>
      <c r="F8" s="13">
        <f>VLOOKUP($E:$E,Planilha1!G:J,4,0)</f>
        <v>3500</v>
      </c>
      <c r="G8" s="14">
        <v>168176.59</v>
      </c>
      <c r="H8" s="13">
        <f>Tabela1[[#This Row],[Entregas]]-1</f>
        <v>3</v>
      </c>
      <c r="I8" s="15">
        <f>VLOOKUP(Tabela1[[#This Row],[Equipamento]],Planilha1!$G$1:$H$8,2,0)</f>
        <v>2.68</v>
      </c>
      <c r="J8" s="16">
        <f>VLOOKUP(Tabela1[[#This Row],[Equipamento]],Planilha1!G:J,3,0)</f>
        <v>1000</v>
      </c>
      <c r="K8" s="17">
        <f>(Tabela1[[#This Row],[Custo Km]]*Tabela1[[#This Row],[Distância]])+(Tabela1[[#This Row],[Custo Saida]]*Tabela1[[#This Row],[Diaria]])+(Tabela1[[#This Row],[Custo Saida]])</f>
        <v>7067.6887999999999</v>
      </c>
      <c r="L8" s="18">
        <f>Tabela1[[#This Row],[Custo Total2]]/Tabela1[[#This Row],[Valor NF]]</f>
        <v>4.2025401989658609E-2</v>
      </c>
      <c r="M8" s="17">
        <f>Tabela1[[#This Row],[Custo Total2]]/Tabela1[[#This Row],[PESO]]</f>
        <v>2.6722193403395851</v>
      </c>
      <c r="N8" s="19">
        <f>Tabela1[[#This Row],[PESO]]/Tabela1[[#This Row],[Capacidade]]</f>
        <v>0.7556788571428571</v>
      </c>
      <c r="O8" s="27">
        <f>Tabela1[[#This Row],[PESO]]*(1-5%)</f>
        <v>2512.6321999999996</v>
      </c>
    </row>
    <row r="9" spans="1:15" x14ac:dyDescent="0.35">
      <c r="A9" s="29" t="s">
        <v>45</v>
      </c>
      <c r="B9" s="9">
        <v>4</v>
      </c>
      <c r="C9" s="9">
        <v>2724.4764999999998</v>
      </c>
      <c r="D9" s="9">
        <v>713.81</v>
      </c>
      <c r="E9" s="13" t="s">
        <v>20</v>
      </c>
      <c r="F9" s="13">
        <f>VLOOKUP($E:$E,Planilha1!G:J,4,0)</f>
        <v>3500</v>
      </c>
      <c r="G9" s="14">
        <v>188738.53</v>
      </c>
      <c r="H9" s="13">
        <f>Tabela1[[#This Row],[Entregas]]-1</f>
        <v>3</v>
      </c>
      <c r="I9" s="15">
        <f>VLOOKUP(Tabela1[[#This Row],[Equipamento]],Planilha1!$G$1:$H$8,2,0)</f>
        <v>2.68</v>
      </c>
      <c r="J9" s="16">
        <f>VLOOKUP(Tabela1[[#This Row],[Equipamento]],Planilha1!G:J,3,0)</f>
        <v>1000</v>
      </c>
      <c r="K9" s="17">
        <f>(Tabela1[[#This Row],[Custo Km]]*Tabela1[[#This Row],[Distância]])+(Tabela1[[#This Row],[Custo Saida]]*Tabela1[[#This Row],[Diaria]])+(Tabela1[[#This Row],[Custo Saida]])</f>
        <v>5913.0108</v>
      </c>
      <c r="L9" s="18">
        <f>Tabela1[[#This Row],[Custo Total2]]/Tabela1[[#This Row],[Valor NF]]</f>
        <v>3.1329113350623217E-2</v>
      </c>
      <c r="M9" s="17">
        <f>Tabela1[[#This Row],[Custo Total2]]/Tabela1[[#This Row],[PESO]]</f>
        <v>2.1703291623179721</v>
      </c>
      <c r="N9" s="19">
        <f>Tabela1[[#This Row],[PESO]]/Tabela1[[#This Row],[Capacidade]]</f>
        <v>0.77842185714285705</v>
      </c>
      <c r="O9" s="27">
        <f>Tabela1[[#This Row],[PESO]]*(1-5%)</f>
        <v>2588.2526749999997</v>
      </c>
    </row>
    <row r="10" spans="1:15" x14ac:dyDescent="0.35">
      <c r="A10" s="29" t="s">
        <v>37</v>
      </c>
      <c r="B10" s="9">
        <v>2</v>
      </c>
      <c r="C10" s="9">
        <v>2771.4540000000002</v>
      </c>
      <c r="D10" s="9">
        <v>82.59</v>
      </c>
      <c r="E10" s="13" t="s">
        <v>20</v>
      </c>
      <c r="F10" s="13">
        <f>VLOOKUP($E:$E,Planilha1!G:J,4,0)</f>
        <v>3500</v>
      </c>
      <c r="G10" s="14">
        <v>130800</v>
      </c>
      <c r="H10" s="13">
        <f>Tabela1[[#This Row],[Entregas]]-1</f>
        <v>1</v>
      </c>
      <c r="I10" s="15">
        <f>VLOOKUP(Tabela1[[#This Row],[Equipamento]],Planilha1!$G$1:$H$8,2,0)</f>
        <v>2.68</v>
      </c>
      <c r="J10" s="16">
        <f>VLOOKUP(Tabela1[[#This Row],[Equipamento]],Planilha1!G:J,3,0)</f>
        <v>1000</v>
      </c>
      <c r="K10" s="17">
        <f>(Tabela1[[#This Row],[Custo Km]]*Tabela1[[#This Row],[Distância]])+(Tabela1[[#This Row],[Custo Saida]]*Tabela1[[#This Row],[Diaria]])+(Tabela1[[#This Row],[Custo Saida]])</f>
        <v>2221.3411999999998</v>
      </c>
      <c r="L10" s="18">
        <f>Tabela1[[#This Row],[Custo Total2]]/Tabela1[[#This Row],[Valor NF]]</f>
        <v>1.698273088685015E-2</v>
      </c>
      <c r="M10" s="17">
        <f>Tabela1[[#This Row],[Custo Total2]]/Tabela1[[#This Row],[PESO]]</f>
        <v>0.80150751194138514</v>
      </c>
      <c r="N10" s="19">
        <f>Tabela1[[#This Row],[PESO]]/Tabela1[[#This Row],[Capacidade]]</f>
        <v>0.7918440000000001</v>
      </c>
      <c r="O10" s="27">
        <f>Tabela1[[#This Row],[PESO]]*(1-5%)</f>
        <v>2632.8813</v>
      </c>
    </row>
    <row r="11" spans="1:15" x14ac:dyDescent="0.35">
      <c r="A11" s="29" t="s">
        <v>46</v>
      </c>
      <c r="B11" s="9">
        <v>3</v>
      </c>
      <c r="C11" s="9">
        <v>2824.4355</v>
      </c>
      <c r="D11" s="9">
        <v>615.44000000000005</v>
      </c>
      <c r="E11" s="13" t="s">
        <v>20</v>
      </c>
      <c r="F11" s="13">
        <f>VLOOKUP($E:$E,Planilha1!G:J,4,0)</f>
        <v>3500</v>
      </c>
      <c r="G11" s="14">
        <v>119336.83</v>
      </c>
      <c r="H11" s="13">
        <f>Tabela1[[#This Row],[Entregas]]-1</f>
        <v>2</v>
      </c>
      <c r="I11" s="15">
        <f>VLOOKUP(Tabela1[[#This Row],[Equipamento]],Planilha1!$G$1:$H$8,2,0)</f>
        <v>2.68</v>
      </c>
      <c r="J11" s="16">
        <f>VLOOKUP(Tabela1[[#This Row],[Equipamento]],Planilha1!G:J,3,0)</f>
        <v>1000</v>
      </c>
      <c r="K11" s="17">
        <f>(Tabela1[[#This Row],[Custo Km]]*Tabela1[[#This Row],[Distância]])+(Tabela1[[#This Row],[Custo Saida]]*Tabela1[[#This Row],[Diaria]])+(Tabela1[[#This Row],[Custo Saida]])</f>
        <v>4649.3792000000003</v>
      </c>
      <c r="L11" s="18">
        <f>Tabela1[[#This Row],[Custo Total2]]/Tabela1[[#This Row],[Valor NF]]</f>
        <v>3.896013661499137E-2</v>
      </c>
      <c r="M11" s="17">
        <f>Tabela1[[#This Row],[Custo Total2]]/Tabela1[[#This Row],[PESO]]</f>
        <v>1.6461268809289502</v>
      </c>
      <c r="N11" s="19">
        <f>Tabela1[[#This Row],[PESO]]/Tabela1[[#This Row],[Capacidade]]</f>
        <v>0.80698157142857141</v>
      </c>
      <c r="O11" s="27">
        <f>Tabela1[[#This Row],[PESO]]*(1-5%)</f>
        <v>2683.2137250000001</v>
      </c>
    </row>
    <row r="12" spans="1:15" x14ac:dyDescent="0.35">
      <c r="A12" s="29" t="s">
        <v>47</v>
      </c>
      <c r="B12" s="9">
        <v>5</v>
      </c>
      <c r="C12" s="9">
        <v>2874.9944999999998</v>
      </c>
      <c r="D12" s="28">
        <v>1510.89</v>
      </c>
      <c r="E12" s="13" t="s">
        <v>20</v>
      </c>
      <c r="F12" s="13">
        <f>VLOOKUP($E:$E,Planilha1!G:J,4,0)</f>
        <v>3500</v>
      </c>
      <c r="G12" s="14">
        <v>119336.83</v>
      </c>
      <c r="H12" s="13">
        <f>Tabela1[[#This Row],[Entregas]]-1</f>
        <v>4</v>
      </c>
      <c r="I12" s="15">
        <f>VLOOKUP(Tabela1[[#This Row],[Equipamento]],Planilha1!$G$1:$H$8,2,0)</f>
        <v>2.68</v>
      </c>
      <c r="J12" s="16">
        <f>VLOOKUP(Tabela1[[#This Row],[Equipamento]],Planilha1!G:J,3,0)</f>
        <v>1000</v>
      </c>
      <c r="K12" s="17">
        <f>(Tabela1[[#This Row],[Custo Km]]*Tabela1[[#This Row],[Distância]])+(Tabela1[[#This Row],[Custo Saida]]*Tabela1[[#This Row],[Diaria]])+(Tabela1[[#This Row],[Custo Saida]])</f>
        <v>9049.1851999999999</v>
      </c>
      <c r="L12" s="18">
        <f>Tabela1[[#This Row],[Custo Total2]]/Tabela1[[#This Row],[Valor NF]]</f>
        <v>7.5828938978855065E-2</v>
      </c>
      <c r="M12" s="17">
        <f>Tabela1[[#This Row],[Custo Total2]]/Tabela1[[#This Row],[PESO]]</f>
        <v>3.1475486996583824</v>
      </c>
      <c r="N12" s="19">
        <f>Tabela1[[#This Row],[PESO]]/Tabela1[[#This Row],[Capacidade]]</f>
        <v>0.82142699999999991</v>
      </c>
      <c r="O12" s="27">
        <f>Tabela1[[#This Row],[PESO]]*(1-5%)</f>
        <v>2731.2447749999997</v>
      </c>
    </row>
    <row r="13" spans="1:15" x14ac:dyDescent="0.35">
      <c r="A13" s="29" t="s">
        <v>48</v>
      </c>
      <c r="B13" s="9">
        <v>4</v>
      </c>
      <c r="C13" s="9">
        <v>2939.4805000000001</v>
      </c>
      <c r="D13" s="9">
        <v>431.7</v>
      </c>
      <c r="E13" s="13" t="s">
        <v>20</v>
      </c>
      <c r="F13" s="13">
        <f>VLOOKUP($E:$E,Planilha1!G:J,4,0)</f>
        <v>3500</v>
      </c>
      <c r="G13" s="14">
        <v>132280.87</v>
      </c>
      <c r="H13" s="13">
        <f>Tabela1[[#This Row],[Entregas]]-1</f>
        <v>3</v>
      </c>
      <c r="I13" s="15">
        <f>VLOOKUP(Tabela1[[#This Row],[Equipamento]],Planilha1!$G$1:$H$8,2,0)</f>
        <v>2.68</v>
      </c>
      <c r="J13" s="16">
        <f>VLOOKUP(Tabela1[[#This Row],[Equipamento]],Planilha1!G:J,3,0)</f>
        <v>1000</v>
      </c>
      <c r="K13" s="17">
        <f>(Tabela1[[#This Row],[Custo Km]]*Tabela1[[#This Row],[Distância]])+(Tabela1[[#This Row],[Custo Saida]]*Tabela1[[#This Row],[Diaria]])+(Tabela1[[#This Row],[Custo Saida]])</f>
        <v>5156.9560000000001</v>
      </c>
      <c r="L13" s="18">
        <f>Tabela1[[#This Row],[Custo Total2]]/Tabela1[[#This Row],[Valor NF]]</f>
        <v>3.8984896304356031E-2</v>
      </c>
      <c r="M13" s="17">
        <f>Tabela1[[#This Row],[Custo Total2]]/Tabela1[[#This Row],[PESO]]</f>
        <v>1.7543766662170408</v>
      </c>
      <c r="N13" s="19">
        <f>Tabela1[[#This Row],[PESO]]/Tabela1[[#This Row],[Capacidade]]</f>
        <v>0.83985157142857148</v>
      </c>
      <c r="O13" s="27">
        <f>Tabela1[[#This Row],[PESO]]*(1-5%)</f>
        <v>2792.5064750000001</v>
      </c>
    </row>
    <row r="14" spans="1:15" x14ac:dyDescent="0.35">
      <c r="A14" s="29" t="s">
        <v>49</v>
      </c>
      <c r="B14" s="9">
        <v>4</v>
      </c>
      <c r="C14" s="9">
        <v>2999.8434999999999</v>
      </c>
      <c r="D14" s="9">
        <v>959.41</v>
      </c>
      <c r="E14" s="13" t="s">
        <v>20</v>
      </c>
      <c r="F14" s="13">
        <f>VLOOKUP($E:$E,Planilha1!G:J,4,0)</f>
        <v>3500</v>
      </c>
      <c r="G14" s="14">
        <v>166329.21</v>
      </c>
      <c r="H14" s="13">
        <f>Tabela1[[#This Row],[Entregas]]-1</f>
        <v>3</v>
      </c>
      <c r="I14" s="15">
        <f>VLOOKUP(Tabela1[[#This Row],[Equipamento]],Planilha1!$G$1:$H$8,2,0)</f>
        <v>2.68</v>
      </c>
      <c r="J14" s="16">
        <f>VLOOKUP(Tabela1[[#This Row],[Equipamento]],Planilha1!G:J,3,0)</f>
        <v>1000</v>
      </c>
      <c r="K14" s="17">
        <f>(Tabela1[[#This Row],[Custo Km]]*Tabela1[[#This Row],[Distância]])+(Tabela1[[#This Row],[Custo Saida]]*Tabela1[[#This Row],[Diaria]])+(Tabela1[[#This Row],[Custo Saida]])</f>
        <v>6571.2188000000006</v>
      </c>
      <c r="L14" s="18">
        <f>Tabela1[[#This Row],[Custo Total2]]/Tabela1[[#This Row],[Valor NF]]</f>
        <v>3.9507304820361987E-2</v>
      </c>
      <c r="M14" s="17">
        <f>Tabela1[[#This Row],[Custo Total2]]/Tabela1[[#This Row],[PESO]]</f>
        <v>2.1905205388214419</v>
      </c>
      <c r="N14" s="19">
        <f>Tabela1[[#This Row],[PESO]]/Tabela1[[#This Row],[Capacidade]]</f>
        <v>0.85709814285714281</v>
      </c>
      <c r="O14" s="27">
        <f>Tabela1[[#This Row],[PESO]]*(1-5%)</f>
        <v>2849.8513249999996</v>
      </c>
    </row>
    <row r="15" spans="1:15" x14ac:dyDescent="0.35">
      <c r="A15" s="29" t="s">
        <v>51</v>
      </c>
      <c r="B15" s="9">
        <v>2</v>
      </c>
      <c r="C15" s="9">
        <v>3141.0989999999997</v>
      </c>
      <c r="D15" s="9">
        <v>54.04</v>
      </c>
      <c r="E15" s="13" t="s">
        <v>20</v>
      </c>
      <c r="F15" s="13">
        <f>VLOOKUP($E:$E,Planilha1!G:J,4,0)</f>
        <v>3500</v>
      </c>
      <c r="G15" s="14">
        <v>35333</v>
      </c>
      <c r="H15" s="13">
        <f>Tabela1[[#This Row],[Entregas]]-1</f>
        <v>1</v>
      </c>
      <c r="I15" s="15">
        <f>VLOOKUP(Tabela1[[#This Row],[Equipamento]],Planilha1!$G$1:$H$8,2,0)</f>
        <v>2.68</v>
      </c>
      <c r="J15" s="16">
        <f>VLOOKUP(Tabela1[[#This Row],[Equipamento]],Planilha1!G:J,3,0)</f>
        <v>1000</v>
      </c>
      <c r="K15" s="17">
        <f>(Tabela1[[#This Row],[Custo Km]]*Tabela1[[#This Row],[Distância]])+(Tabela1[[#This Row],[Custo Saida]]*Tabela1[[#This Row],[Diaria]])+(Tabela1[[#This Row],[Custo Saida]])</f>
        <v>2144.8271999999997</v>
      </c>
      <c r="L15" s="18">
        <f>Tabela1[[#This Row],[Custo Total2]]/Tabela1[[#This Row],[Valor NF]]</f>
        <v>6.0703229275747873E-2</v>
      </c>
      <c r="M15" s="17">
        <f>Tabela1[[#This Row],[Custo Total2]]/Tabela1[[#This Row],[PESO]]</f>
        <v>0.68282699781191225</v>
      </c>
      <c r="N15" s="19">
        <f>Tabela1[[#This Row],[PESO]]/Tabela1[[#This Row],[Capacidade]]</f>
        <v>0.89745685714285706</v>
      </c>
      <c r="O15" s="27">
        <f>Tabela1[[#This Row],[PESO]]*(1-5%)</f>
        <v>2984.0440499999995</v>
      </c>
    </row>
    <row r="16" spans="1:15" x14ac:dyDescent="0.35">
      <c r="A16" s="29" t="s">
        <v>50</v>
      </c>
      <c r="B16" s="9">
        <v>3</v>
      </c>
      <c r="C16" s="9">
        <v>4123.9404999999997</v>
      </c>
      <c r="D16" s="9">
        <v>39.56</v>
      </c>
      <c r="E16" s="13" t="s">
        <v>36</v>
      </c>
      <c r="F16" s="13">
        <f>VLOOKUP($E:$E,Planilha1!G:J,4,0)</f>
        <v>5000</v>
      </c>
      <c r="G16" s="14">
        <v>122651.96</v>
      </c>
      <c r="H16" s="13">
        <f>Tabela1[[#This Row],[Entregas]]-1</f>
        <v>2</v>
      </c>
      <c r="I16" s="15">
        <f>VLOOKUP(Tabela1[[#This Row],[Equipamento]],Planilha1!$G$1:$H$8,2,0)</f>
        <v>2.78</v>
      </c>
      <c r="J16" s="16">
        <f>VLOOKUP(Tabela1[[#This Row],[Equipamento]],Planilha1!G:J,3,0)</f>
        <v>1075</v>
      </c>
      <c r="K16" s="17">
        <f>(Tabela1[[#This Row],[Custo Km]]*Tabela1[[#This Row],[Distância]])+(Tabela1[[#This Row],[Custo Saida]]*Tabela1[[#This Row],[Diaria]])+(Tabela1[[#This Row],[Custo Saida]])</f>
        <v>3334.9767999999999</v>
      </c>
      <c r="L16" s="18">
        <f>Tabela1[[#This Row],[Custo Total2]]/Tabela1[[#This Row],[Valor NF]]</f>
        <v>2.7190570782562297E-2</v>
      </c>
      <c r="M16" s="17">
        <f>Tabela1[[#This Row],[Custo Total2]]/Tabela1[[#This Row],[PESO]]</f>
        <v>0.80868693425620475</v>
      </c>
      <c r="N16" s="19">
        <f>Tabela1[[#This Row],[PESO]]/Tabela1[[#This Row],[Capacidade]]</f>
        <v>0.82478809999999991</v>
      </c>
      <c r="O16" s="27">
        <f>Tabela1[[#This Row],[PESO]]*(1-5%)</f>
        <v>3917.7434749999993</v>
      </c>
    </row>
    <row r="17" spans="1:15" x14ac:dyDescent="0.35">
      <c r="A17" s="29" t="s">
        <v>52</v>
      </c>
      <c r="B17" s="9">
        <v>4</v>
      </c>
      <c r="C17" s="9">
        <v>4285.7635</v>
      </c>
      <c r="D17" s="9">
        <v>979.89</v>
      </c>
      <c r="E17" s="13" t="s">
        <v>36</v>
      </c>
      <c r="F17" s="13">
        <f>VLOOKUP($E:$E,Planilha1!G:J,4,0)</f>
        <v>5000</v>
      </c>
      <c r="G17" s="14">
        <v>154141.93</v>
      </c>
      <c r="H17" s="13">
        <f>Tabela1[[#This Row],[Entregas]]-1</f>
        <v>3</v>
      </c>
      <c r="I17" s="15">
        <f>VLOOKUP(Tabela1[[#This Row],[Equipamento]],Planilha1!$G$1:$H$8,2,0)</f>
        <v>2.78</v>
      </c>
      <c r="J17" s="16">
        <f>VLOOKUP(Tabela1[[#This Row],[Equipamento]],Planilha1!G:J,3,0)</f>
        <v>1075</v>
      </c>
      <c r="K17" s="17">
        <f>(Tabela1[[#This Row],[Custo Km]]*Tabela1[[#This Row],[Distância]])+(Tabela1[[#This Row],[Custo Saida]]*Tabela1[[#This Row],[Diaria]])+(Tabela1[[#This Row],[Custo Saida]])</f>
        <v>7024.0941999999995</v>
      </c>
      <c r="L17" s="18">
        <f>Tabela1[[#This Row],[Custo Total2]]/Tabela1[[#This Row],[Valor NF]]</f>
        <v>4.5569003839513365E-2</v>
      </c>
      <c r="M17" s="17">
        <f>Tabela1[[#This Row],[Custo Total2]]/Tabela1[[#This Row],[PESO]]</f>
        <v>1.6389364928792733</v>
      </c>
      <c r="N17" s="19">
        <f>Tabela1[[#This Row],[PESO]]/Tabela1[[#This Row],[Capacidade]]</f>
        <v>0.85715269999999999</v>
      </c>
      <c r="O17" s="27">
        <f>Tabela1[[#This Row],[PESO]]*(1-5%)</f>
        <v>4071.4753249999999</v>
      </c>
    </row>
    <row r="18" spans="1:15" x14ac:dyDescent="0.35">
      <c r="A18" s="29" t="s">
        <v>53</v>
      </c>
      <c r="B18" s="9">
        <v>3</v>
      </c>
      <c r="C18" s="9">
        <v>4463.9645</v>
      </c>
      <c r="D18" s="9">
        <v>837.87</v>
      </c>
      <c r="E18" s="13" t="s">
        <v>36</v>
      </c>
      <c r="F18" s="13">
        <f>VLOOKUP($E:$E,Planilha1!G:J,4,0)</f>
        <v>5000</v>
      </c>
      <c r="G18" s="14">
        <v>112913.14</v>
      </c>
      <c r="H18" s="13">
        <f>Tabela1[[#This Row],[Entregas]]-1</f>
        <v>2</v>
      </c>
      <c r="I18" s="15">
        <f>VLOOKUP(Tabela1[[#This Row],[Equipamento]],Planilha1!$G$1:$H$8,2,0)</f>
        <v>2.78</v>
      </c>
      <c r="J18" s="16">
        <f>VLOOKUP(Tabela1[[#This Row],[Equipamento]],Planilha1!G:J,3,0)</f>
        <v>1075</v>
      </c>
      <c r="K18" s="17">
        <f>(Tabela1[[#This Row],[Custo Km]]*Tabela1[[#This Row],[Distância]])+(Tabela1[[#This Row],[Custo Saida]]*Tabela1[[#This Row],[Diaria]])+(Tabela1[[#This Row],[Custo Saida]])</f>
        <v>5554.2785999999996</v>
      </c>
      <c r="L18" s="18">
        <f>Tabela1[[#This Row],[Custo Total2]]/Tabela1[[#This Row],[Valor NF]]</f>
        <v>4.9190719521217813E-2</v>
      </c>
      <c r="M18" s="17">
        <f>Tabela1[[#This Row],[Custo Total2]]/Tabela1[[#This Row],[PESO]]</f>
        <v>1.2442479325272411</v>
      </c>
      <c r="N18" s="19">
        <f>Tabela1[[#This Row],[PESO]]/Tabela1[[#This Row],[Capacidade]]</f>
        <v>0.8927929</v>
      </c>
      <c r="O18" s="27">
        <f>Tabela1[[#This Row],[PESO]]*(1-5%)</f>
        <v>4240.766275</v>
      </c>
    </row>
    <row r="19" spans="1:15" x14ac:dyDescent="0.35">
      <c r="A19" s="29" t="s">
        <v>54</v>
      </c>
      <c r="B19" s="9">
        <v>4</v>
      </c>
      <c r="C19" s="9">
        <v>5342.3629999999994</v>
      </c>
      <c r="D19" s="9">
        <v>277.39</v>
      </c>
      <c r="E19" s="13" t="s">
        <v>36</v>
      </c>
      <c r="F19" s="13">
        <f>VLOOKUP($E:$E,Planilha1!G:J,4,0)</f>
        <v>5000</v>
      </c>
      <c r="G19" s="14">
        <v>104000</v>
      </c>
      <c r="H19" s="13">
        <f>Tabela1[[#This Row],[Entregas]]-1</f>
        <v>3</v>
      </c>
      <c r="I19" s="15">
        <f>VLOOKUP(Tabela1[[#This Row],[Equipamento]],Planilha1!$G$1:$H$8,2,0)</f>
        <v>2.78</v>
      </c>
      <c r="J19" s="16">
        <f>VLOOKUP(Tabela1[[#This Row],[Equipamento]],Planilha1!G:J,3,0)</f>
        <v>1075</v>
      </c>
      <c r="K19" s="17">
        <f>(Tabela1[[#This Row],[Custo Km]]*Tabela1[[#This Row],[Distância]])+(Tabela1[[#This Row],[Custo Saida]]*Tabela1[[#This Row],[Diaria]])+(Tabela1[[#This Row],[Custo Saida]])</f>
        <v>5071.1441999999997</v>
      </c>
      <c r="L19" s="18">
        <f>Tabela1[[#This Row],[Custo Total2]]/Tabela1[[#This Row],[Valor NF]]</f>
        <v>4.8761001923076919E-2</v>
      </c>
      <c r="M19" s="17">
        <f>Tabela1[[#This Row],[Custo Total2]]/Tabela1[[#This Row],[PESO]]</f>
        <v>0.94923242767292304</v>
      </c>
      <c r="N19" s="19">
        <f>Tabela1[[#This Row],[PESO]]/Tabela1[[#This Row],[Capacidade]]</f>
        <v>1.0684725999999998</v>
      </c>
      <c r="O19" s="27">
        <f>Tabela1[[#This Row],[PESO]]*(1-5%)</f>
        <v>5075.2448499999991</v>
      </c>
    </row>
    <row r="42" spans="1:14" x14ac:dyDescent="0.35">
      <c r="A42" s="29" t="s">
        <v>3</v>
      </c>
      <c r="B42" s="9" t="s">
        <v>4</v>
      </c>
      <c r="C42" s="9" t="s">
        <v>0</v>
      </c>
      <c r="D42" s="9" t="s">
        <v>1</v>
      </c>
      <c r="E42" s="9" t="s">
        <v>2</v>
      </c>
      <c r="F42" s="9" t="s">
        <v>32</v>
      </c>
      <c r="G42" s="9" t="s">
        <v>5</v>
      </c>
      <c r="H42" s="9" t="s">
        <v>25</v>
      </c>
      <c r="I42" s="9" t="s">
        <v>26</v>
      </c>
      <c r="J42" s="10" t="s">
        <v>27</v>
      </c>
      <c r="K42" s="9" t="s">
        <v>28</v>
      </c>
      <c r="L42" s="11" t="s">
        <v>29</v>
      </c>
      <c r="M42" s="9" t="s">
        <v>30</v>
      </c>
      <c r="N42" s="12" t="s">
        <v>31</v>
      </c>
    </row>
    <row r="43" spans="1:14" x14ac:dyDescent="0.35">
      <c r="A43" s="30" t="s">
        <v>33</v>
      </c>
      <c r="B43" s="13">
        <v>2</v>
      </c>
      <c r="C43" s="13">
        <v>1372.85</v>
      </c>
      <c r="D43" s="13">
        <v>735.28</v>
      </c>
      <c r="E43" s="13" t="s">
        <v>21</v>
      </c>
      <c r="F43" s="13">
        <v>6000</v>
      </c>
      <c r="G43" s="13">
        <v>34600</v>
      </c>
      <c r="H43" s="13">
        <v>1</v>
      </c>
      <c r="I43" s="22">
        <v>3.6</v>
      </c>
      <c r="J43" s="23">
        <v>1295</v>
      </c>
      <c r="K43" s="22">
        <v>5237.0079999999998</v>
      </c>
      <c r="L43" s="20">
        <v>0.15135861271676301</v>
      </c>
      <c r="M43" s="22">
        <v>3.8146978912481337</v>
      </c>
      <c r="N43" s="21">
        <v>0.22880833333333331</v>
      </c>
    </row>
    <row r="44" spans="1:14" x14ac:dyDescent="0.35">
      <c r="A44" s="30" t="s">
        <v>34</v>
      </c>
      <c r="B44" s="13">
        <v>1</v>
      </c>
      <c r="C44" s="13">
        <v>2206.9499999999998</v>
      </c>
      <c r="D44" s="13">
        <v>237.62</v>
      </c>
      <c r="E44" s="13" t="s">
        <v>21</v>
      </c>
      <c r="F44" s="13">
        <v>6000</v>
      </c>
      <c r="G44" s="13">
        <v>54250</v>
      </c>
      <c r="H44" s="13">
        <v>0</v>
      </c>
      <c r="I44" s="22">
        <v>3.6</v>
      </c>
      <c r="J44" s="23">
        <v>1295</v>
      </c>
      <c r="K44" s="22">
        <v>2150.4319999999998</v>
      </c>
      <c r="L44" s="20">
        <v>3.9639299539170503E-2</v>
      </c>
      <c r="M44" s="22">
        <v>0.97439090147035501</v>
      </c>
      <c r="N44" s="21">
        <v>0.36782499999999996</v>
      </c>
    </row>
    <row r="45" spans="1:14" x14ac:dyDescent="0.35">
      <c r="A45" s="30" t="s">
        <v>35</v>
      </c>
      <c r="B45" s="13">
        <v>2</v>
      </c>
      <c r="C45" s="13">
        <v>3454.85</v>
      </c>
      <c r="D45" s="13">
        <v>958.96</v>
      </c>
      <c r="E45" s="13" t="s">
        <v>21</v>
      </c>
      <c r="F45" s="13">
        <v>6000</v>
      </c>
      <c r="G45" s="13">
        <v>91250.5</v>
      </c>
      <c r="H45" s="13">
        <v>1</v>
      </c>
      <c r="I45" s="22">
        <v>3.6</v>
      </c>
      <c r="J45" s="23">
        <v>1295</v>
      </c>
      <c r="K45" s="22">
        <v>6042.2560000000003</v>
      </c>
      <c r="L45" s="20">
        <v>6.6216141281417645E-2</v>
      </c>
      <c r="M45" s="22">
        <v>1.7489199241645803</v>
      </c>
      <c r="N45" s="21">
        <v>0.57580833333333337</v>
      </c>
    </row>
  </sheetData>
  <phoneticPr fontId="20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AA5A1D-06D9-46F1-9FD8-2DA600D442AE}">
          <x14:formula1>
            <xm:f>Planilha1!$G$2:$G$8</xm:f>
          </x14:formula1>
          <xm:sqref>E2:E19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4DEF-C071-4F12-81FC-B58D0C79DA7D}">
  <dimension ref="A1:X45"/>
  <sheetViews>
    <sheetView zoomScaleNormal="100" workbookViewId="0">
      <selection activeCell="O29" sqref="O29"/>
    </sheetView>
  </sheetViews>
  <sheetFormatPr defaultRowHeight="14.5" x14ac:dyDescent="0.35"/>
  <cols>
    <col min="1" max="1" width="61.453125" bestFit="1" customWidth="1"/>
    <col min="2" max="2" width="10.08984375" customWidth="1"/>
    <col min="3" max="3" width="8.7265625" style="31"/>
    <col min="4" max="4" width="10.54296875" style="31" customWidth="1"/>
    <col min="5" max="5" width="14.1796875" customWidth="1"/>
    <col min="6" max="6" width="12.90625" bestFit="1" customWidth="1"/>
    <col min="8" max="8" width="10.81640625" style="33" customWidth="1"/>
    <col min="9" max="9" width="12.54296875" style="32" customWidth="1"/>
    <col min="10" max="10" width="13.26953125" style="32" customWidth="1"/>
    <col min="11" max="11" width="10.26953125" style="32" customWidth="1"/>
    <col min="12" max="12" width="11.08984375" style="24" customWidth="1"/>
    <col min="13" max="13" width="11.08984375" style="26" customWidth="1"/>
    <col min="14" max="14" width="10.36328125" style="31" bestFit="1" customWidth="1"/>
    <col min="15" max="15" width="17.453125" style="31" customWidth="1"/>
    <col min="16" max="16" width="16.90625" customWidth="1"/>
    <col min="17" max="17" width="17" style="31" bestFit="1" customWidth="1"/>
    <col min="18" max="18" width="16.7265625" style="31" bestFit="1" customWidth="1"/>
    <col min="20" max="20" width="10.81640625" style="33" customWidth="1"/>
    <col min="21" max="21" width="12.54296875" style="33" customWidth="1"/>
    <col min="22" max="22" width="13.26953125" style="33" customWidth="1"/>
    <col min="23" max="23" width="10.26953125" style="33" customWidth="1"/>
    <col min="24" max="24" width="11.08984375" style="24" customWidth="1"/>
  </cols>
  <sheetData>
    <row r="1" spans="1:22" ht="32.5" customHeight="1" x14ac:dyDescent="0.35">
      <c r="A1" s="34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43"/>
    </row>
    <row r="2" spans="1:22" x14ac:dyDescent="0.35">
      <c r="A2" t="s">
        <v>3</v>
      </c>
      <c r="B2" t="s">
        <v>4</v>
      </c>
      <c r="C2" s="31" t="s">
        <v>0</v>
      </c>
      <c r="D2" s="31" t="s">
        <v>1</v>
      </c>
      <c r="E2" t="s">
        <v>2</v>
      </c>
      <c r="F2" t="s">
        <v>32</v>
      </c>
      <c r="G2" t="s">
        <v>25</v>
      </c>
      <c r="H2" s="33" t="s">
        <v>26</v>
      </c>
      <c r="I2" s="32" t="s">
        <v>27</v>
      </c>
      <c r="J2" s="32" t="s">
        <v>28</v>
      </c>
      <c r="K2" s="32" t="s">
        <v>30</v>
      </c>
      <c r="L2" s="24" t="s">
        <v>31</v>
      </c>
      <c r="M2" s="26" t="s">
        <v>62</v>
      </c>
      <c r="N2" s="31" t="s">
        <v>55</v>
      </c>
      <c r="O2" s="31" t="s">
        <v>56</v>
      </c>
      <c r="Q2" s="46" t="s">
        <v>63</v>
      </c>
      <c r="R2" s="46" t="s">
        <v>64</v>
      </c>
    </row>
    <row r="3" spans="1:22" x14ac:dyDescent="0.35">
      <c r="A3" t="s">
        <v>38</v>
      </c>
      <c r="B3">
        <v>3</v>
      </c>
      <c r="C3" s="31">
        <v>1987.4569999999999</v>
      </c>
      <c r="D3" s="31">
        <v>1505.08</v>
      </c>
      <c r="E3" t="s">
        <v>20</v>
      </c>
      <c r="F3">
        <v>3500</v>
      </c>
      <c r="G3">
        <v>2</v>
      </c>
      <c r="H3" s="33">
        <v>2.1</v>
      </c>
      <c r="I3" s="32">
        <v>774.6</v>
      </c>
      <c r="J3" s="32">
        <v>5484.4680000000008</v>
      </c>
      <c r="K3" s="32">
        <v>2.759540457982236</v>
      </c>
      <c r="L3" s="24">
        <v>0.56784485714285715</v>
      </c>
      <c r="M3" s="26">
        <v>3100</v>
      </c>
      <c r="N3" s="31">
        <f>Tabela3[[#This Row],[Coluna3]]-Tabela3[[#This Row],[PESO]]</f>
        <v>1112.5430000000001</v>
      </c>
      <c r="O3" s="31">
        <f>Tabela3[[#This Row],[Coluna1]]/Tabela3[[#This Row],[Entregas]]</f>
        <v>370.84766666666673</v>
      </c>
      <c r="Q3" s="47">
        <v>1112.5430000000001</v>
      </c>
      <c r="R3" s="47">
        <v>370.84766666666673</v>
      </c>
    </row>
    <row r="4" spans="1:22" x14ac:dyDescent="0.35">
      <c r="A4" t="s">
        <v>40</v>
      </c>
      <c r="B4">
        <v>3</v>
      </c>
      <c r="C4" s="31">
        <v>2080.3384999999998</v>
      </c>
      <c r="D4" s="31">
        <v>1020.76</v>
      </c>
      <c r="E4" t="s">
        <v>20</v>
      </c>
      <c r="F4">
        <v>3500</v>
      </c>
      <c r="G4">
        <v>2</v>
      </c>
      <c r="H4" s="33">
        <v>2.1</v>
      </c>
      <c r="I4" s="32">
        <v>774.6</v>
      </c>
      <c r="J4" s="32">
        <v>4467.3960000000006</v>
      </c>
      <c r="K4" s="32">
        <v>2.1474370637278506</v>
      </c>
      <c r="L4" s="24">
        <v>0.59438242857142853</v>
      </c>
      <c r="M4" s="26">
        <v>3100</v>
      </c>
      <c r="N4" s="31">
        <f>Tabela3[[#This Row],[Coluna3]]-Tabela3[[#This Row],[PESO]]</f>
        <v>1019.6615000000002</v>
      </c>
      <c r="O4" s="31">
        <f>Tabela3[[#This Row],[Coluna1]]/Tabela3[[#This Row],[Entregas]]</f>
        <v>339.8871666666667</v>
      </c>
      <c r="Q4" s="47">
        <v>1019.6615000000002</v>
      </c>
      <c r="R4" s="47">
        <v>339.8871666666667</v>
      </c>
    </row>
    <row r="5" spans="1:22" x14ac:dyDescent="0.35">
      <c r="A5" t="s">
        <v>41</v>
      </c>
      <c r="B5">
        <v>5</v>
      </c>
      <c r="C5" s="31">
        <v>2340.7240000000002</v>
      </c>
      <c r="D5" s="31">
        <v>357.15</v>
      </c>
      <c r="E5" t="s">
        <v>20</v>
      </c>
      <c r="F5">
        <v>3500</v>
      </c>
      <c r="G5">
        <v>4</v>
      </c>
      <c r="H5" s="33">
        <v>2.1</v>
      </c>
      <c r="I5" s="32">
        <v>774.6</v>
      </c>
      <c r="J5" s="32">
        <v>4623.0150000000003</v>
      </c>
      <c r="K5" s="32">
        <v>1.9750363562726747</v>
      </c>
      <c r="L5" s="24">
        <v>0.66877828571428577</v>
      </c>
      <c r="M5" s="26">
        <v>3100</v>
      </c>
      <c r="N5" s="31">
        <f>Tabela3[[#This Row],[Coluna3]]-Tabela3[[#This Row],[PESO]]</f>
        <v>759.27599999999984</v>
      </c>
      <c r="O5" s="31">
        <f>Tabela3[[#This Row],[Coluna1]]/Tabela3[[#This Row],[Entregas]]</f>
        <v>151.85519999999997</v>
      </c>
      <c r="Q5" s="47">
        <v>759.27599999999984</v>
      </c>
      <c r="R5" s="47">
        <v>151.85519999999997</v>
      </c>
    </row>
    <row r="6" spans="1:22" x14ac:dyDescent="0.35">
      <c r="A6" t="s">
        <v>43</v>
      </c>
      <c r="B6">
        <v>3</v>
      </c>
      <c r="C6" s="31">
        <v>2356.4749999999999</v>
      </c>
      <c r="D6" s="31">
        <v>1423.32</v>
      </c>
      <c r="E6" t="s">
        <v>20</v>
      </c>
      <c r="F6">
        <v>3500</v>
      </c>
      <c r="G6">
        <v>2</v>
      </c>
      <c r="H6" s="33">
        <v>2.1</v>
      </c>
      <c r="I6" s="32">
        <v>774.6</v>
      </c>
      <c r="J6" s="32">
        <v>5312.7720000000008</v>
      </c>
      <c r="K6" s="32">
        <v>2.2545420596441725</v>
      </c>
      <c r="L6" s="24">
        <v>0.67327857142857139</v>
      </c>
      <c r="M6" s="26">
        <v>3100</v>
      </c>
      <c r="N6" s="31">
        <f>Tabela3[[#This Row],[Coluna3]]-Tabela3[[#This Row],[PESO]]</f>
        <v>743.52500000000009</v>
      </c>
      <c r="O6" s="31">
        <f>Tabela3[[#This Row],[Coluna1]]/Tabela3[[#This Row],[Entregas]]</f>
        <v>247.8416666666667</v>
      </c>
      <c r="Q6" s="47">
        <v>743.52500000000009</v>
      </c>
      <c r="R6" s="47">
        <v>247.8416666666667</v>
      </c>
    </row>
    <row r="7" spans="1:22" x14ac:dyDescent="0.35">
      <c r="A7" t="s">
        <v>42</v>
      </c>
      <c r="B7">
        <v>4</v>
      </c>
      <c r="C7" s="31">
        <v>2387.6730000000002</v>
      </c>
      <c r="D7" s="31">
        <v>337.93</v>
      </c>
      <c r="E7" t="s">
        <v>20</v>
      </c>
      <c r="F7">
        <v>3500</v>
      </c>
      <c r="G7">
        <v>3</v>
      </c>
      <c r="H7" s="33">
        <v>2.1</v>
      </c>
      <c r="I7" s="32">
        <v>774.6</v>
      </c>
      <c r="J7" s="32">
        <v>3808.0530000000003</v>
      </c>
      <c r="K7" s="32">
        <v>1.5948804547356359</v>
      </c>
      <c r="L7" s="24">
        <v>0.68219228571428581</v>
      </c>
      <c r="M7" s="26">
        <v>3100</v>
      </c>
      <c r="N7" s="31">
        <f>Tabela3[[#This Row],[Coluna3]]-Tabela3[[#This Row],[PESO]]</f>
        <v>712.32699999999977</v>
      </c>
      <c r="O7" s="31">
        <f>Tabela3[[#This Row],[Coluna1]]/Tabela3[[#This Row],[Entregas]]</f>
        <v>178.08174999999994</v>
      </c>
      <c r="Q7" s="47">
        <v>712.32699999999977</v>
      </c>
      <c r="R7" s="47">
        <v>178.08174999999994</v>
      </c>
    </row>
    <row r="8" spans="1:22" x14ac:dyDescent="0.35">
      <c r="A8" t="s">
        <v>39</v>
      </c>
      <c r="B8">
        <v>3</v>
      </c>
      <c r="C8" s="31">
        <v>2570.3865000000001</v>
      </c>
      <c r="D8" s="31">
        <v>972.56</v>
      </c>
      <c r="E8" t="s">
        <v>20</v>
      </c>
      <c r="F8">
        <v>3500</v>
      </c>
      <c r="G8">
        <v>2</v>
      </c>
      <c r="H8" s="33">
        <v>2.1</v>
      </c>
      <c r="I8" s="32">
        <v>774.6</v>
      </c>
      <c r="J8" s="32">
        <v>4366.1760000000004</v>
      </c>
      <c r="K8" s="32">
        <v>1.6986457095071112</v>
      </c>
      <c r="L8" s="24">
        <v>0.73439614285714283</v>
      </c>
      <c r="M8" s="26">
        <v>3100</v>
      </c>
      <c r="N8" s="31">
        <f>Tabela3[[#This Row],[Coluna3]]-Tabela3[[#This Row],[PESO]]</f>
        <v>529.61349999999993</v>
      </c>
      <c r="O8" s="31">
        <f>Tabela3[[#This Row],[Coluna1]]/Tabela3[[#This Row],[Entregas]]</f>
        <v>176.53783333333331</v>
      </c>
      <c r="Q8" s="47">
        <v>529.61349999999993</v>
      </c>
      <c r="R8" s="47">
        <v>176.53783333333331</v>
      </c>
    </row>
    <row r="9" spans="1:22" x14ac:dyDescent="0.35">
      <c r="A9" t="s">
        <v>44</v>
      </c>
      <c r="B9">
        <v>4</v>
      </c>
      <c r="C9" s="31">
        <v>2644.8759999999997</v>
      </c>
      <c r="D9" s="31">
        <v>1144.6600000000001</v>
      </c>
      <c r="E9" t="s">
        <v>20</v>
      </c>
      <c r="F9">
        <v>3500</v>
      </c>
      <c r="G9">
        <v>3</v>
      </c>
      <c r="H9" s="33">
        <v>2.1</v>
      </c>
      <c r="I9" s="32">
        <v>774.6</v>
      </c>
      <c r="J9" s="32">
        <v>5502.1860000000006</v>
      </c>
      <c r="K9" s="32">
        <v>2.080319077340488</v>
      </c>
      <c r="L9" s="24">
        <v>0.7556788571428571</v>
      </c>
      <c r="M9" s="26">
        <v>3100</v>
      </c>
      <c r="N9" s="31">
        <f>Tabela3[[#This Row],[Coluna3]]-Tabela3[[#This Row],[PESO]]</f>
        <v>455.12400000000025</v>
      </c>
      <c r="O9" s="31">
        <f>Tabela3[[#This Row],[Coluna1]]/Tabela3[[#This Row],[Entregas]]</f>
        <v>113.78100000000006</v>
      </c>
      <c r="Q9" s="47">
        <v>455.12400000000025</v>
      </c>
      <c r="R9" s="47">
        <v>113.78100000000006</v>
      </c>
    </row>
    <row r="10" spans="1:22" x14ac:dyDescent="0.35">
      <c r="A10" t="s">
        <v>45</v>
      </c>
      <c r="B10">
        <v>4</v>
      </c>
      <c r="C10" s="31">
        <v>2724.4764999999998</v>
      </c>
      <c r="D10" s="31">
        <v>713.81</v>
      </c>
      <c r="E10" t="s">
        <v>20</v>
      </c>
      <c r="F10">
        <v>3500</v>
      </c>
      <c r="G10">
        <v>3</v>
      </c>
      <c r="H10" s="33">
        <v>2.1</v>
      </c>
      <c r="I10" s="32">
        <v>774.6</v>
      </c>
      <c r="J10" s="32">
        <v>4597.4010000000007</v>
      </c>
      <c r="K10" s="32">
        <v>1.687443808012292</v>
      </c>
      <c r="L10" s="24">
        <v>0.77842185714285705</v>
      </c>
      <c r="M10" s="26">
        <v>3100</v>
      </c>
      <c r="N10" s="31">
        <f>Tabela3[[#This Row],[Coluna3]]-Tabela3[[#This Row],[PESO]]</f>
        <v>375.52350000000024</v>
      </c>
      <c r="O10" s="31">
        <f>Tabela3[[#This Row],[Coluna1]]/Tabela3[[#This Row],[Entregas]]</f>
        <v>93.88087500000006</v>
      </c>
      <c r="Q10" s="47">
        <v>375.52350000000024</v>
      </c>
      <c r="R10" s="47">
        <v>93.88087500000006</v>
      </c>
    </row>
    <row r="11" spans="1:22" x14ac:dyDescent="0.35">
      <c r="A11" t="s">
        <v>37</v>
      </c>
      <c r="B11">
        <v>2</v>
      </c>
      <c r="C11" s="31">
        <v>2771.4540000000002</v>
      </c>
      <c r="D11" s="31">
        <v>82.59</v>
      </c>
      <c r="E11" t="s">
        <v>20</v>
      </c>
      <c r="F11">
        <v>3500</v>
      </c>
      <c r="G11">
        <v>1</v>
      </c>
      <c r="H11" s="33">
        <v>2.1</v>
      </c>
      <c r="I11" s="32">
        <v>774.6</v>
      </c>
      <c r="J11" s="32">
        <v>1722.6390000000001</v>
      </c>
      <c r="K11" s="32">
        <v>0.62156507017616025</v>
      </c>
      <c r="L11" s="24">
        <v>0.7918440000000001</v>
      </c>
      <c r="M11" s="26">
        <v>3100</v>
      </c>
      <c r="N11" s="31">
        <f>Tabela3[[#This Row],[Coluna3]]-Tabela3[[#This Row],[PESO]]</f>
        <v>328.54599999999982</v>
      </c>
      <c r="O11" s="31">
        <f>Tabela3[[#This Row],[Coluna1]]/Tabela3[[#This Row],[Entregas]]</f>
        <v>164.27299999999991</v>
      </c>
      <c r="Q11" s="47">
        <v>328.54599999999982</v>
      </c>
      <c r="R11" s="47">
        <v>164.27299999999991</v>
      </c>
    </row>
    <row r="12" spans="1:22" x14ac:dyDescent="0.35">
      <c r="A12" t="s">
        <v>46</v>
      </c>
      <c r="B12">
        <v>3</v>
      </c>
      <c r="C12" s="31">
        <v>2824.4355</v>
      </c>
      <c r="D12" s="31">
        <v>615.44000000000005</v>
      </c>
      <c r="E12" t="s">
        <v>20</v>
      </c>
      <c r="F12">
        <v>3500</v>
      </c>
      <c r="G12">
        <v>2</v>
      </c>
      <c r="H12" s="33">
        <v>2.1</v>
      </c>
      <c r="I12" s="32">
        <v>774.6</v>
      </c>
      <c r="J12" s="32">
        <v>3616.2240000000002</v>
      </c>
      <c r="K12" s="32">
        <v>1.280335132453901</v>
      </c>
      <c r="L12" s="24">
        <v>0.80698157142857141</v>
      </c>
      <c r="M12" s="26">
        <v>3100</v>
      </c>
      <c r="N12" s="31">
        <f>Tabela3[[#This Row],[Coluna3]]-Tabela3[[#This Row],[PESO]]</f>
        <v>275.56449999999995</v>
      </c>
      <c r="O12" s="31">
        <f>Tabela3[[#This Row],[Coluna1]]/Tabela3[[#This Row],[Entregas]]</f>
        <v>91.854833333333318</v>
      </c>
      <c r="Q12" s="47">
        <v>275.56449999999995</v>
      </c>
      <c r="R12" s="47">
        <v>91.854833333333318</v>
      </c>
    </row>
    <row r="13" spans="1:22" x14ac:dyDescent="0.35">
      <c r="A13" t="s">
        <v>47</v>
      </c>
      <c r="B13">
        <v>5</v>
      </c>
      <c r="C13" s="31">
        <v>2874.9944999999998</v>
      </c>
      <c r="D13" s="31">
        <v>1510.89</v>
      </c>
      <c r="E13" t="s">
        <v>20</v>
      </c>
      <c r="F13">
        <v>3500</v>
      </c>
      <c r="G13">
        <v>4</v>
      </c>
      <c r="H13" s="33">
        <v>2.1</v>
      </c>
      <c r="I13" s="32">
        <v>774.6</v>
      </c>
      <c r="J13" s="32">
        <v>7045.8690000000006</v>
      </c>
      <c r="K13" s="32">
        <v>2.4507417318537481</v>
      </c>
      <c r="L13" s="24">
        <v>0.82142699999999991</v>
      </c>
      <c r="M13" s="26">
        <v>3100</v>
      </c>
      <c r="N13" s="31">
        <f>Tabela3[[#This Row],[Coluna3]]-Tabela3[[#This Row],[PESO]]</f>
        <v>225.00550000000021</v>
      </c>
      <c r="O13" s="31">
        <f>Tabela3[[#This Row],[Coluna1]]/Tabela3[[#This Row],[Entregas]]</f>
        <v>45.001100000000044</v>
      </c>
      <c r="Q13" s="47">
        <v>225.00550000000021</v>
      </c>
      <c r="R13" s="47">
        <v>45.001100000000044</v>
      </c>
    </row>
    <row r="14" spans="1:22" x14ac:dyDescent="0.35">
      <c r="A14" t="s">
        <v>48</v>
      </c>
      <c r="B14">
        <v>4</v>
      </c>
      <c r="C14" s="31">
        <v>2939.4805000000001</v>
      </c>
      <c r="D14" s="31">
        <v>431.7</v>
      </c>
      <c r="E14" t="s">
        <v>20</v>
      </c>
      <c r="F14">
        <v>3500</v>
      </c>
      <c r="G14">
        <v>3</v>
      </c>
      <c r="H14" s="33">
        <v>2.1</v>
      </c>
      <c r="I14" s="32">
        <v>774.6</v>
      </c>
      <c r="J14" s="32">
        <v>4004.9700000000003</v>
      </c>
      <c r="K14" s="32">
        <v>1.3624754442153979</v>
      </c>
      <c r="L14" s="24">
        <v>0.83985157142857148</v>
      </c>
      <c r="M14" s="26">
        <v>3100</v>
      </c>
      <c r="N14" s="31">
        <f>Tabela3[[#This Row],[Coluna3]]-Tabela3[[#This Row],[PESO]]</f>
        <v>160.51949999999988</v>
      </c>
      <c r="O14" s="31">
        <f>Tabela3[[#This Row],[Coluna1]]/Tabela3[[#This Row],[Entregas]]</f>
        <v>40.12987499999997</v>
      </c>
      <c r="Q14" s="47">
        <v>160.51949999999988</v>
      </c>
      <c r="R14" s="47">
        <v>40.12987499999997</v>
      </c>
      <c r="T14" s="38" t="s">
        <v>61</v>
      </c>
      <c r="U14" s="38"/>
      <c r="V14" s="38"/>
    </row>
    <row r="15" spans="1:22" x14ac:dyDescent="0.35">
      <c r="A15" t="s">
        <v>49</v>
      </c>
      <c r="B15">
        <v>4</v>
      </c>
      <c r="C15" s="31">
        <v>2999.8434999999999</v>
      </c>
      <c r="D15" s="31">
        <v>959.41</v>
      </c>
      <c r="E15" t="s">
        <v>20</v>
      </c>
      <c r="F15">
        <v>3500</v>
      </c>
      <c r="G15">
        <v>3</v>
      </c>
      <c r="H15" s="33">
        <v>2.1</v>
      </c>
      <c r="I15" s="32">
        <v>774.6</v>
      </c>
      <c r="J15" s="32">
        <v>5113.1610000000001</v>
      </c>
      <c r="K15" s="32">
        <v>1.7044759168269945</v>
      </c>
      <c r="L15" s="24">
        <v>0.85709814285714281</v>
      </c>
      <c r="M15" s="26">
        <v>3100</v>
      </c>
      <c r="N15" s="31">
        <f>Tabela3[[#This Row],[Coluna3]]-Tabela3[[#This Row],[PESO]]</f>
        <v>100.15650000000005</v>
      </c>
      <c r="O15" s="31">
        <f>Tabela3[[#This Row],[Coluna1]]/Tabela3[[#This Row],[Entregas]]</f>
        <v>25.039125000000013</v>
      </c>
      <c r="Q15" s="47">
        <v>100.15650000000005</v>
      </c>
      <c r="R15" s="47">
        <v>25.039125000000013</v>
      </c>
      <c r="T15" s="35" t="s">
        <v>26</v>
      </c>
      <c r="U15" s="35" t="s">
        <v>60</v>
      </c>
      <c r="V15" s="35" t="s">
        <v>30</v>
      </c>
    </row>
    <row r="16" spans="1:22" x14ac:dyDescent="0.35">
      <c r="A16" t="s">
        <v>51</v>
      </c>
      <c r="B16">
        <v>2</v>
      </c>
      <c r="C16" s="31">
        <v>3141.0989999999997</v>
      </c>
      <c r="D16" s="31">
        <v>54.04</v>
      </c>
      <c r="E16" t="s">
        <v>20</v>
      </c>
      <c r="F16">
        <v>3500</v>
      </c>
      <c r="G16">
        <v>1</v>
      </c>
      <c r="H16" s="33">
        <v>2.1</v>
      </c>
      <c r="I16" s="32">
        <v>774.6</v>
      </c>
      <c r="J16" s="32">
        <v>1662.6840000000002</v>
      </c>
      <c r="K16" s="32">
        <v>0.52933193127628275</v>
      </c>
      <c r="L16" s="24">
        <v>0.89745685714285706</v>
      </c>
      <c r="M16" s="26">
        <v>3100</v>
      </c>
      <c r="N16" s="31">
        <f>Tabela3[[#This Row],[Coluna3]]-Tabela3[[#This Row],[PESO]]</f>
        <v>-41.098999999999705</v>
      </c>
      <c r="O16" s="31">
        <f>Tabela3[[#This Row],[Coluna1]]/Tabela3[[#This Row],[Entregas]]</f>
        <v>-20.549499999999853</v>
      </c>
      <c r="Q16" s="47">
        <v>376.0595000000003</v>
      </c>
      <c r="R16" s="47">
        <v>125.35316666666677</v>
      </c>
      <c r="T16" s="41">
        <f>Tabela5[[#Totals],[Custo Km]]-Tabela3[[#Totals],[Custo Km]]</f>
        <v>0.45777777777777784</v>
      </c>
      <c r="U16" s="39">
        <f>Tabela5[[#Totals],[Custo Total2]]-Tabela3[[#Totals],[Custo Total2]]</f>
        <v>18613.658500000034</v>
      </c>
      <c r="V16" s="40">
        <f>Tabela5[[#Totals],[Frete/Kg]]-Tabela3[[#Totals],[Frete/Kg]]</f>
        <v>0.39626582593442783</v>
      </c>
    </row>
    <row r="17" spans="1:18" x14ac:dyDescent="0.35">
      <c r="A17" t="s">
        <v>50</v>
      </c>
      <c r="B17">
        <v>3</v>
      </c>
      <c r="C17" s="31">
        <v>4123.9404999999997</v>
      </c>
      <c r="D17" s="31">
        <v>39.56</v>
      </c>
      <c r="E17" t="s">
        <v>36</v>
      </c>
      <c r="F17">
        <v>5000</v>
      </c>
      <c r="G17">
        <v>2</v>
      </c>
      <c r="H17" s="33">
        <v>2.75</v>
      </c>
      <c r="I17" s="32">
        <v>1000</v>
      </c>
      <c r="J17" s="32">
        <v>3108.79</v>
      </c>
      <c r="K17" s="32">
        <v>0.75383968318650574</v>
      </c>
      <c r="L17" s="24">
        <v>0.82478809999999991</v>
      </c>
      <c r="M17" s="26">
        <v>4500</v>
      </c>
      <c r="N17" s="31">
        <f>Tabela3[[#This Row],[Coluna3]]-Tabela3[[#This Row],[PESO]]</f>
        <v>376.0595000000003</v>
      </c>
      <c r="O17" s="31">
        <f>Tabela3[[#This Row],[Coluna1]]/Tabela3[[#This Row],[Entregas]]</f>
        <v>125.35316666666677</v>
      </c>
      <c r="Q17" s="47">
        <v>214.23649999999998</v>
      </c>
      <c r="R17" s="47">
        <v>53.559124999999995</v>
      </c>
    </row>
    <row r="18" spans="1:18" x14ac:dyDescent="0.35">
      <c r="A18" t="s">
        <v>52</v>
      </c>
      <c r="B18">
        <v>4</v>
      </c>
      <c r="C18" s="31">
        <v>4285.7635</v>
      </c>
      <c r="D18" s="31">
        <v>979.89</v>
      </c>
      <c r="E18" t="s">
        <v>36</v>
      </c>
      <c r="F18">
        <v>5000</v>
      </c>
      <c r="G18">
        <v>3</v>
      </c>
      <c r="H18" s="33">
        <v>2.75</v>
      </c>
      <c r="I18" s="32">
        <v>1000</v>
      </c>
      <c r="J18" s="32">
        <v>6694.6975000000002</v>
      </c>
      <c r="K18" s="32">
        <v>1.5620781454692962</v>
      </c>
      <c r="L18" s="24">
        <v>0.85715269999999999</v>
      </c>
      <c r="M18" s="26">
        <v>4500</v>
      </c>
      <c r="N18" s="31">
        <f>Tabela3[[#This Row],[Coluna3]]-Tabela3[[#This Row],[PESO]]</f>
        <v>214.23649999999998</v>
      </c>
      <c r="O18" s="31">
        <f>Tabela3[[#This Row],[Coluna1]]/Tabela3[[#This Row],[Entregas]]</f>
        <v>53.559124999999995</v>
      </c>
      <c r="Q18" s="47">
        <v>36.035499999999956</v>
      </c>
      <c r="R18" s="47">
        <v>12.011833333333319</v>
      </c>
    </row>
    <row r="19" spans="1:18" x14ac:dyDescent="0.35">
      <c r="A19" t="s">
        <v>53</v>
      </c>
      <c r="B19">
        <v>3</v>
      </c>
      <c r="C19" s="31">
        <v>4463.9645</v>
      </c>
      <c r="D19" s="31">
        <v>837.87</v>
      </c>
      <c r="E19" t="s">
        <v>36</v>
      </c>
      <c r="F19">
        <v>5000</v>
      </c>
      <c r="G19">
        <v>2</v>
      </c>
      <c r="H19" s="33">
        <v>2.75</v>
      </c>
      <c r="I19" s="32">
        <v>1000</v>
      </c>
      <c r="J19" s="32">
        <v>5304.1424999999999</v>
      </c>
      <c r="K19" s="32">
        <v>1.1882134143315879</v>
      </c>
      <c r="L19" s="24">
        <v>0.8927929</v>
      </c>
      <c r="M19" s="26">
        <v>4500</v>
      </c>
      <c r="N19" s="31">
        <f>Tabela3[[#This Row],[Coluna3]]-Tabela3[[#This Row],[PESO]]</f>
        <v>36.035499999999956</v>
      </c>
      <c r="O19" s="31">
        <f>Tabela3[[#This Row],[Coluna1]]/Tabela3[[#This Row],[Entregas]]</f>
        <v>12.011833333333319</v>
      </c>
      <c r="Q19" s="45">
        <f>AVERAGE(Q3:Q18)</f>
        <v>463.98231249999998</v>
      </c>
      <c r="R19" s="45">
        <f>AVERAGE(R3:R18)</f>
        <v>139.37095104166664</v>
      </c>
    </row>
    <row r="20" spans="1:18" x14ac:dyDescent="0.35">
      <c r="A20" t="s">
        <v>54</v>
      </c>
      <c r="B20">
        <v>4</v>
      </c>
      <c r="C20" s="31">
        <v>5342.3629999999994</v>
      </c>
      <c r="D20" s="31">
        <v>277.39</v>
      </c>
      <c r="E20" t="s">
        <v>36</v>
      </c>
      <c r="F20">
        <v>5000</v>
      </c>
      <c r="G20">
        <v>3</v>
      </c>
      <c r="H20" s="33">
        <v>2.75</v>
      </c>
      <c r="I20" s="32">
        <v>1000</v>
      </c>
      <c r="J20" s="32">
        <v>4762.8225000000002</v>
      </c>
      <c r="K20" s="32">
        <v>0.89151981997479413</v>
      </c>
      <c r="L20" s="24">
        <v>1.0684725999999998</v>
      </c>
      <c r="O20" s="31">
        <f>AVERAGE(O3:O19)</f>
        <v>129.96386568627454</v>
      </c>
    </row>
    <row r="21" spans="1:18" x14ac:dyDescent="0.35">
      <c r="C21" s="31">
        <f>SUBTOTAL(109,Tabela3[PESO])</f>
        <v>54859.745000000003</v>
      </c>
      <c r="D21" s="31">
        <f>SUBTOTAL(109,Tabela3[Distância])</f>
        <v>13264.050000000001</v>
      </c>
      <c r="E21" s="31"/>
      <c r="F21" s="31"/>
      <c r="G21" s="26">
        <f>SUBTOTAL(109,Tabela3[Diaria])</f>
        <v>45</v>
      </c>
      <c r="H21" s="36">
        <f>AVERAGE(Tabela3[Custo Km])</f>
        <v>2.2444444444444449</v>
      </c>
      <c r="I21" s="36">
        <f>SUBTOTAL(109,Tabela3[Custo Saida])</f>
        <v>14844.400000000003</v>
      </c>
      <c r="J21" s="36">
        <f>SUBTOTAL(109,Tabela3[Custo Total2])</f>
        <v>81197.466499999995</v>
      </c>
      <c r="K21" s="36">
        <f>AVERAGE(Tabela3[Frete/Kg])</f>
        <v>1.5856900709437296</v>
      </c>
      <c r="L21" s="24">
        <f>AVERAGE(Tabela3[Ocupação])</f>
        <v>0.78404659603174598</v>
      </c>
      <c r="N21" s="42"/>
      <c r="O21" s="42"/>
    </row>
    <row r="25" spans="1:18" ht="23.5" x14ac:dyDescent="0.35">
      <c r="A25" s="34" t="s">
        <v>59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43"/>
    </row>
    <row r="26" spans="1:18" x14ac:dyDescent="0.35">
      <c r="A26" t="s">
        <v>3</v>
      </c>
      <c r="B26" t="s">
        <v>4</v>
      </c>
      <c r="C26" s="31" t="s">
        <v>0</v>
      </c>
      <c r="D26" s="31" t="s">
        <v>1</v>
      </c>
      <c r="E26" t="s">
        <v>2</v>
      </c>
      <c r="F26" t="s">
        <v>32</v>
      </c>
      <c r="G26" t="s">
        <v>25</v>
      </c>
      <c r="H26" s="33" t="s">
        <v>26</v>
      </c>
      <c r="I26" s="33" t="s">
        <v>27</v>
      </c>
      <c r="J26" s="33" t="s">
        <v>28</v>
      </c>
      <c r="K26" s="33" t="s">
        <v>30</v>
      </c>
      <c r="L26" s="24" t="s">
        <v>31</v>
      </c>
    </row>
    <row r="27" spans="1:18" x14ac:dyDescent="0.35">
      <c r="A27" t="s">
        <v>38</v>
      </c>
      <c r="B27">
        <v>3</v>
      </c>
      <c r="C27" s="31">
        <v>1987.4569999999999</v>
      </c>
      <c r="D27" s="31">
        <v>1505.08</v>
      </c>
      <c r="E27" t="s">
        <v>20</v>
      </c>
      <c r="F27">
        <v>3500</v>
      </c>
      <c r="G27">
        <v>2</v>
      </c>
      <c r="H27" s="33">
        <v>2.68</v>
      </c>
      <c r="I27" s="33">
        <v>1000</v>
      </c>
      <c r="J27" s="33">
        <v>7033.6144000000004</v>
      </c>
      <c r="K27" s="33">
        <v>3.539002051365137</v>
      </c>
      <c r="L27" s="24">
        <v>0.56784485714285715</v>
      </c>
    </row>
    <row r="28" spans="1:18" x14ac:dyDescent="0.35">
      <c r="A28" t="s">
        <v>40</v>
      </c>
      <c r="B28">
        <v>3</v>
      </c>
      <c r="C28" s="31">
        <v>2080.3384999999998</v>
      </c>
      <c r="D28" s="31">
        <v>1020.76</v>
      </c>
      <c r="E28" t="s">
        <v>20</v>
      </c>
      <c r="F28">
        <v>3500</v>
      </c>
      <c r="G28">
        <v>2</v>
      </c>
      <c r="H28" s="33">
        <v>2.68</v>
      </c>
      <c r="I28" s="33">
        <v>1000</v>
      </c>
      <c r="J28" s="33">
        <v>5735.6368000000002</v>
      </c>
      <c r="K28" s="33">
        <v>2.7570690058372715</v>
      </c>
      <c r="L28" s="24">
        <v>0.59438242857142853</v>
      </c>
    </row>
    <row r="29" spans="1:18" x14ac:dyDescent="0.35">
      <c r="A29" t="s">
        <v>41</v>
      </c>
      <c r="B29">
        <v>5</v>
      </c>
      <c r="C29" s="31">
        <v>2340.7240000000002</v>
      </c>
      <c r="D29" s="31">
        <v>357.15</v>
      </c>
      <c r="E29" t="s">
        <v>20</v>
      </c>
      <c r="F29">
        <v>3500</v>
      </c>
      <c r="G29">
        <v>4</v>
      </c>
      <c r="H29" s="33">
        <v>2.68</v>
      </c>
      <c r="I29" s="33">
        <v>1000</v>
      </c>
      <c r="J29" s="33">
        <v>5957.1620000000003</v>
      </c>
      <c r="K29" s="33">
        <v>2.5450082965783234</v>
      </c>
      <c r="L29" s="24">
        <v>0.66877828571428577</v>
      </c>
    </row>
    <row r="30" spans="1:18" x14ac:dyDescent="0.35">
      <c r="A30" t="s">
        <v>43</v>
      </c>
      <c r="B30">
        <v>3</v>
      </c>
      <c r="C30" s="31">
        <v>2356.4749999999999</v>
      </c>
      <c r="D30" s="31">
        <v>1423.32</v>
      </c>
      <c r="E30" t="s">
        <v>20</v>
      </c>
      <c r="F30">
        <v>3500</v>
      </c>
      <c r="G30">
        <v>2</v>
      </c>
      <c r="H30" s="33">
        <v>2.68</v>
      </c>
      <c r="I30" s="33">
        <v>1000</v>
      </c>
      <c r="J30" s="33">
        <v>6814.4976000000006</v>
      </c>
      <c r="K30" s="33">
        <v>2.8918183303451133</v>
      </c>
      <c r="L30" s="24">
        <v>0.67327857142857139</v>
      </c>
    </row>
    <row r="31" spans="1:18" x14ac:dyDescent="0.35">
      <c r="A31" t="s">
        <v>42</v>
      </c>
      <c r="B31">
        <v>4</v>
      </c>
      <c r="C31" s="31">
        <v>2387.6730000000002</v>
      </c>
      <c r="D31" s="31">
        <v>337.93</v>
      </c>
      <c r="E31" t="s">
        <v>20</v>
      </c>
      <c r="F31">
        <v>3500</v>
      </c>
      <c r="G31">
        <v>3</v>
      </c>
      <c r="H31" s="33">
        <v>2.68</v>
      </c>
      <c r="I31" s="33">
        <v>1000</v>
      </c>
      <c r="J31" s="33">
        <v>4905.6523999999999</v>
      </c>
      <c r="K31" s="33">
        <v>2.0545746423400524</v>
      </c>
      <c r="L31" s="24">
        <v>0.68219228571428581</v>
      </c>
    </row>
    <row r="32" spans="1:18" x14ac:dyDescent="0.35">
      <c r="A32" t="s">
        <v>39</v>
      </c>
      <c r="B32">
        <v>3</v>
      </c>
      <c r="C32" s="31">
        <v>2570.3865000000001</v>
      </c>
      <c r="D32" s="31">
        <v>972.56</v>
      </c>
      <c r="E32" t="s">
        <v>20</v>
      </c>
      <c r="F32">
        <v>3500</v>
      </c>
      <c r="G32">
        <v>2</v>
      </c>
      <c r="H32" s="33">
        <v>2.68</v>
      </c>
      <c r="I32" s="33">
        <v>1000</v>
      </c>
      <c r="J32" s="33">
        <v>5606.4607999999998</v>
      </c>
      <c r="K32" s="33">
        <v>2.1811742319686163</v>
      </c>
      <c r="L32" s="24">
        <v>0.73439614285714283</v>
      </c>
    </row>
    <row r="33" spans="1:13" x14ac:dyDescent="0.35">
      <c r="A33" t="s">
        <v>44</v>
      </c>
      <c r="B33">
        <v>4</v>
      </c>
      <c r="C33" s="31">
        <v>2644.8759999999997</v>
      </c>
      <c r="D33" s="31">
        <v>1144.6600000000001</v>
      </c>
      <c r="E33" t="s">
        <v>20</v>
      </c>
      <c r="F33">
        <v>3500</v>
      </c>
      <c r="G33">
        <v>3</v>
      </c>
      <c r="H33" s="33">
        <v>2.68</v>
      </c>
      <c r="I33" s="33">
        <v>1000</v>
      </c>
      <c r="J33" s="33">
        <v>7067.6887999999999</v>
      </c>
      <c r="K33" s="33">
        <v>2.6722193403395851</v>
      </c>
      <c r="L33" s="24">
        <v>0.7556788571428571</v>
      </c>
    </row>
    <row r="34" spans="1:13" x14ac:dyDescent="0.35">
      <c r="A34" t="s">
        <v>45</v>
      </c>
      <c r="B34">
        <v>4</v>
      </c>
      <c r="C34" s="31">
        <v>2724.4764999999998</v>
      </c>
      <c r="D34" s="31">
        <v>713.81</v>
      </c>
      <c r="E34" t="s">
        <v>20</v>
      </c>
      <c r="F34">
        <v>3500</v>
      </c>
      <c r="G34">
        <v>3</v>
      </c>
      <c r="H34" s="33">
        <v>2.68</v>
      </c>
      <c r="I34" s="33">
        <v>1000</v>
      </c>
      <c r="J34" s="33">
        <v>5913.0108</v>
      </c>
      <c r="K34" s="33">
        <v>2.1703291623179721</v>
      </c>
      <c r="L34" s="24">
        <v>0.77842185714285705</v>
      </c>
    </row>
    <row r="35" spans="1:13" x14ac:dyDescent="0.35">
      <c r="A35" t="s">
        <v>37</v>
      </c>
      <c r="B35">
        <v>2</v>
      </c>
      <c r="C35" s="31">
        <v>2771.4540000000002</v>
      </c>
      <c r="D35" s="31">
        <v>82.59</v>
      </c>
      <c r="E35" t="s">
        <v>20</v>
      </c>
      <c r="F35">
        <v>3500</v>
      </c>
      <c r="G35">
        <v>1</v>
      </c>
      <c r="H35" s="33">
        <v>2.68</v>
      </c>
      <c r="I35" s="33">
        <v>1000</v>
      </c>
      <c r="J35" s="33">
        <v>2221.3411999999998</v>
      </c>
      <c r="K35" s="33">
        <v>0.80150751194138514</v>
      </c>
      <c r="L35" s="24">
        <v>0.7918440000000001</v>
      </c>
    </row>
    <row r="36" spans="1:13" x14ac:dyDescent="0.35">
      <c r="A36" t="s">
        <v>46</v>
      </c>
      <c r="B36">
        <v>3</v>
      </c>
      <c r="C36" s="31">
        <v>2824.4355</v>
      </c>
      <c r="D36" s="31">
        <v>615.44000000000005</v>
      </c>
      <c r="E36" t="s">
        <v>20</v>
      </c>
      <c r="F36">
        <v>3500</v>
      </c>
      <c r="G36">
        <v>2</v>
      </c>
      <c r="H36" s="33">
        <v>2.68</v>
      </c>
      <c r="I36" s="33">
        <v>1000</v>
      </c>
      <c r="J36" s="33">
        <v>4649.3792000000003</v>
      </c>
      <c r="K36" s="33">
        <v>1.6461268809289502</v>
      </c>
      <c r="L36" s="24">
        <v>0.80698157142857141</v>
      </c>
    </row>
    <row r="37" spans="1:13" x14ac:dyDescent="0.35">
      <c r="A37" t="s">
        <v>47</v>
      </c>
      <c r="B37">
        <v>5</v>
      </c>
      <c r="C37" s="31">
        <v>2874.9944999999998</v>
      </c>
      <c r="D37" s="31">
        <v>1510.89</v>
      </c>
      <c r="E37" t="s">
        <v>20</v>
      </c>
      <c r="F37">
        <v>3500</v>
      </c>
      <c r="G37">
        <v>4</v>
      </c>
      <c r="H37" s="33">
        <v>2.68</v>
      </c>
      <c r="I37" s="33">
        <v>1000</v>
      </c>
      <c r="J37" s="33">
        <v>9049.1851999999999</v>
      </c>
      <c r="K37" s="33">
        <v>3.1475486996583824</v>
      </c>
      <c r="L37" s="24">
        <v>0.82142699999999991</v>
      </c>
    </row>
    <row r="38" spans="1:13" x14ac:dyDescent="0.35">
      <c r="A38" t="s">
        <v>48</v>
      </c>
      <c r="B38">
        <v>4</v>
      </c>
      <c r="C38" s="31">
        <v>2939.4805000000001</v>
      </c>
      <c r="D38" s="31">
        <v>431.7</v>
      </c>
      <c r="E38" t="s">
        <v>20</v>
      </c>
      <c r="F38">
        <v>3500</v>
      </c>
      <c r="G38">
        <v>3</v>
      </c>
      <c r="H38" s="33">
        <v>2.68</v>
      </c>
      <c r="I38" s="33">
        <v>1000</v>
      </c>
      <c r="J38" s="33">
        <v>5156.9560000000001</v>
      </c>
      <c r="K38" s="33">
        <v>1.7543766662170408</v>
      </c>
      <c r="L38" s="24">
        <v>0.83985157142857148</v>
      </c>
    </row>
    <row r="39" spans="1:13" x14ac:dyDescent="0.35">
      <c r="A39" t="s">
        <v>49</v>
      </c>
      <c r="B39">
        <v>4</v>
      </c>
      <c r="C39" s="31">
        <v>2999.8434999999999</v>
      </c>
      <c r="D39" s="31">
        <v>959.41</v>
      </c>
      <c r="E39" t="s">
        <v>20</v>
      </c>
      <c r="F39">
        <v>3500</v>
      </c>
      <c r="G39">
        <v>3</v>
      </c>
      <c r="H39" s="33">
        <v>2.68</v>
      </c>
      <c r="I39" s="33">
        <v>1000</v>
      </c>
      <c r="J39" s="33">
        <v>6571.2188000000006</v>
      </c>
      <c r="K39" s="33">
        <v>2.1905205388214419</v>
      </c>
      <c r="L39" s="24">
        <v>0.85709814285714281</v>
      </c>
    </row>
    <row r="40" spans="1:13" x14ac:dyDescent="0.35">
      <c r="A40" t="s">
        <v>51</v>
      </c>
      <c r="B40">
        <v>2</v>
      </c>
      <c r="C40" s="31">
        <v>3141.0989999999997</v>
      </c>
      <c r="D40" s="31">
        <v>54.04</v>
      </c>
      <c r="E40" t="s">
        <v>20</v>
      </c>
      <c r="F40">
        <v>3500</v>
      </c>
      <c r="G40">
        <v>1</v>
      </c>
      <c r="H40" s="33">
        <v>2.68</v>
      </c>
      <c r="I40" s="33">
        <v>1000</v>
      </c>
      <c r="J40" s="33">
        <v>2144.8271999999997</v>
      </c>
      <c r="K40" s="33">
        <v>0.68282699781191225</v>
      </c>
      <c r="L40" s="24">
        <v>0.89745685714285706</v>
      </c>
    </row>
    <row r="41" spans="1:13" x14ac:dyDescent="0.35">
      <c r="A41" t="s">
        <v>50</v>
      </c>
      <c r="B41">
        <v>3</v>
      </c>
      <c r="C41" s="31">
        <v>4123.9404999999997</v>
      </c>
      <c r="D41" s="31">
        <v>39.56</v>
      </c>
      <c r="E41" t="s">
        <v>36</v>
      </c>
      <c r="F41">
        <v>5000</v>
      </c>
      <c r="G41">
        <v>2</v>
      </c>
      <c r="H41" s="33">
        <v>2.78</v>
      </c>
      <c r="I41" s="33">
        <v>1075</v>
      </c>
      <c r="J41" s="33">
        <v>3334.9767999999999</v>
      </c>
      <c r="K41" s="33">
        <v>0.80868693425620475</v>
      </c>
      <c r="L41" s="24">
        <v>0.82478809999999991</v>
      </c>
    </row>
    <row r="42" spans="1:13" x14ac:dyDescent="0.35">
      <c r="A42" t="s">
        <v>52</v>
      </c>
      <c r="B42">
        <v>4</v>
      </c>
      <c r="C42" s="31">
        <v>4285.7635</v>
      </c>
      <c r="D42" s="31">
        <v>979.89</v>
      </c>
      <c r="E42" t="s">
        <v>36</v>
      </c>
      <c r="F42">
        <v>5000</v>
      </c>
      <c r="G42">
        <v>3</v>
      </c>
      <c r="H42" s="33">
        <v>2.78</v>
      </c>
      <c r="I42" s="33">
        <v>1075</v>
      </c>
      <c r="J42" s="33">
        <v>7024.0941999999995</v>
      </c>
      <c r="K42" s="33">
        <v>1.6389364928792733</v>
      </c>
      <c r="L42" s="24">
        <v>0.85715269999999999</v>
      </c>
    </row>
    <row r="43" spans="1:13" x14ac:dyDescent="0.35">
      <c r="A43" t="s">
        <v>53</v>
      </c>
      <c r="B43">
        <v>3</v>
      </c>
      <c r="C43" s="31">
        <v>4463.9645</v>
      </c>
      <c r="D43" s="31">
        <v>837.87</v>
      </c>
      <c r="E43" t="s">
        <v>36</v>
      </c>
      <c r="F43">
        <v>5000</v>
      </c>
      <c r="G43">
        <v>2</v>
      </c>
      <c r="H43" s="33">
        <v>2.78</v>
      </c>
      <c r="I43" s="33">
        <v>1075</v>
      </c>
      <c r="J43" s="33">
        <v>5554.2785999999996</v>
      </c>
      <c r="K43" s="33">
        <v>1.2442479325272411</v>
      </c>
      <c r="L43" s="24">
        <v>0.8927929</v>
      </c>
    </row>
    <row r="44" spans="1:13" x14ac:dyDescent="0.35">
      <c r="A44" t="s">
        <v>54</v>
      </c>
      <c r="B44">
        <v>4</v>
      </c>
      <c r="C44" s="31">
        <v>5342.3629999999994</v>
      </c>
      <c r="D44" s="31">
        <v>277.39</v>
      </c>
      <c r="E44" t="s">
        <v>36</v>
      </c>
      <c r="F44">
        <v>5000</v>
      </c>
      <c r="G44">
        <v>3</v>
      </c>
      <c r="H44" s="33">
        <v>2.78</v>
      </c>
      <c r="I44" s="33">
        <v>1075</v>
      </c>
      <c r="J44" s="33">
        <v>5071.1441999999997</v>
      </c>
      <c r="K44" s="33">
        <v>0.94923242767292304</v>
      </c>
      <c r="L44" s="24">
        <v>1.0684725999999998</v>
      </c>
    </row>
    <row r="45" spans="1:13" x14ac:dyDescent="0.35">
      <c r="C45" s="31">
        <f>SUBTOTAL(109,Tabela5[PESO])</f>
        <v>54859.745000000003</v>
      </c>
      <c r="D45" s="31">
        <f>SUBTOTAL(109,Tabela5[Distância])</f>
        <v>13264.050000000001</v>
      </c>
      <c r="G45">
        <f>SUBTOTAL(109,Tabela5[Diaria])</f>
        <v>45</v>
      </c>
      <c r="H45" s="36">
        <f>AVERAGE(Tabela5[Custo Km])</f>
        <v>2.7022222222222227</v>
      </c>
      <c r="I45" s="36">
        <f>SUBTOTAL(109,Tabela5[Custo Saida])</f>
        <v>18300</v>
      </c>
      <c r="J45" s="36">
        <f>SUBTOTAL(109,Tabela5[Custo Total2])</f>
        <v>99811.125000000029</v>
      </c>
      <c r="K45" s="36">
        <f>AVERAGE(Tabela5[Frete/Kg])</f>
        <v>1.9819558968781574</v>
      </c>
      <c r="L45" s="37">
        <f>AVERAGE(Tabela5[Ocupação])</f>
        <v>0.78404659603174598</v>
      </c>
      <c r="M45" s="44"/>
    </row>
  </sheetData>
  <mergeCells count="3">
    <mergeCell ref="A1:L1"/>
    <mergeCell ref="A25:L25"/>
    <mergeCell ref="T14:V14"/>
  </mergeCells>
  <phoneticPr fontId="20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as1</vt:lpstr>
      <vt:lpstr>AS COPERTRAL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 Faustino</dc:creator>
  <cp:lastModifiedBy>Fabricio Dos Santos Faustino</cp:lastModifiedBy>
  <dcterms:created xsi:type="dcterms:W3CDTF">2025-06-13T18:16:55Z</dcterms:created>
  <dcterms:modified xsi:type="dcterms:W3CDTF">2026-02-06T20:43:07Z</dcterms:modified>
</cp:coreProperties>
</file>