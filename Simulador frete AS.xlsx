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ricio.faustino\Desktop\"/>
    </mc:Choice>
  </mc:AlternateContent>
  <xr:revisionPtr revIDLastSave="0" documentId="13_ncr:1_{8824D649-C425-4532-AA2F-77A518CC7DF9}" xr6:coauthVersionLast="47" xr6:coauthVersionMax="47" xr10:uidLastSave="{00000000-0000-0000-0000-000000000000}"/>
  <bookViews>
    <workbookView xWindow="-38520" yWindow="-120" windowWidth="38640" windowHeight="15720" activeTab="1" xr2:uid="{F9C1C144-4CEE-4608-BF04-CC63536F5E35}"/>
  </bookViews>
  <sheets>
    <sheet name="Planilha1" sheetId="2" r:id="rId1"/>
    <sheet name="as1" sheetId="1" r:id="rId2"/>
  </sheets>
  <calcPr calcId="181029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L19" i="1"/>
  <c r="K19" i="1"/>
  <c r="J19" i="1"/>
  <c r="H19" i="1"/>
  <c r="P19" i="1" s="1"/>
  <c r="L18" i="1"/>
  <c r="K18" i="1"/>
  <c r="M18" i="1" s="1"/>
  <c r="J18" i="1"/>
  <c r="H18" i="1"/>
  <c r="P18" i="1" s="1"/>
  <c r="L17" i="1"/>
  <c r="K17" i="1"/>
  <c r="J17" i="1"/>
  <c r="H17" i="1"/>
  <c r="P17" i="1" s="1"/>
  <c r="L16" i="1"/>
  <c r="K16" i="1"/>
  <c r="J16" i="1"/>
  <c r="H16" i="1"/>
  <c r="P16" i="1" s="1"/>
  <c r="L15" i="1"/>
  <c r="K15" i="1"/>
  <c r="J15" i="1"/>
  <c r="H15" i="1"/>
  <c r="P15" i="1" s="1"/>
  <c r="L14" i="1"/>
  <c r="K14" i="1"/>
  <c r="J14" i="1"/>
  <c r="H14" i="1"/>
  <c r="P14" i="1" s="1"/>
  <c r="L13" i="1"/>
  <c r="K13" i="1"/>
  <c r="J13" i="1"/>
  <c r="H13" i="1"/>
  <c r="P13" i="1" s="1"/>
  <c r="L12" i="1"/>
  <c r="K12" i="1"/>
  <c r="J12" i="1"/>
  <c r="H12" i="1"/>
  <c r="P12" i="1" s="1"/>
  <c r="L11" i="1"/>
  <c r="K11" i="1"/>
  <c r="J11" i="1"/>
  <c r="H11" i="1"/>
  <c r="P11" i="1" s="1"/>
  <c r="L10" i="1"/>
  <c r="K10" i="1"/>
  <c r="J10" i="1"/>
  <c r="H10" i="1"/>
  <c r="P10" i="1" s="1"/>
  <c r="L9" i="1"/>
  <c r="K9" i="1"/>
  <c r="J9" i="1"/>
  <c r="H9" i="1"/>
  <c r="P9" i="1" s="1"/>
  <c r="L8" i="1"/>
  <c r="K8" i="1"/>
  <c r="J8" i="1"/>
  <c r="H8" i="1"/>
  <c r="P8" i="1" s="1"/>
  <c r="L7" i="1"/>
  <c r="K7" i="1"/>
  <c r="J7" i="1"/>
  <c r="H7" i="1"/>
  <c r="P7" i="1" s="1"/>
  <c r="L6" i="1"/>
  <c r="K6" i="1"/>
  <c r="J6" i="1"/>
  <c r="H6" i="1"/>
  <c r="P6" i="1" s="1"/>
  <c r="L5" i="1"/>
  <c r="K5" i="1"/>
  <c r="J5" i="1"/>
  <c r="H5" i="1"/>
  <c r="P5" i="1" s="1"/>
  <c r="L4" i="1"/>
  <c r="K4" i="1"/>
  <c r="J4" i="1"/>
  <c r="H4" i="1"/>
  <c r="P4" i="1" s="1"/>
  <c r="L3" i="1"/>
  <c r="K3" i="1"/>
  <c r="J3" i="1"/>
  <c r="H3" i="1"/>
  <c r="P3" i="1" s="1"/>
  <c r="L2" i="1"/>
  <c r="K2" i="1"/>
  <c r="J2" i="1"/>
  <c r="H2" i="1"/>
  <c r="P2" i="1" s="1"/>
  <c r="M19" i="1" l="1"/>
  <c r="N19" i="1" s="1"/>
  <c r="M2" i="1"/>
  <c r="N2" i="1" s="1"/>
  <c r="M16" i="1"/>
  <c r="O16" i="1" s="1"/>
  <c r="M10" i="1"/>
  <c r="O10" i="1" s="1"/>
  <c r="M8" i="1"/>
  <c r="N8" i="1" s="1"/>
  <c r="M7" i="1"/>
  <c r="N7" i="1" s="1"/>
  <c r="M9" i="1"/>
  <c r="O9" i="1" s="1"/>
  <c r="M17" i="1"/>
  <c r="O17" i="1" s="1"/>
  <c r="M4" i="1"/>
  <c r="O4" i="1" s="1"/>
  <c r="M12" i="1"/>
  <c r="N12" i="1" s="1"/>
  <c r="M15" i="1"/>
  <c r="O15" i="1" s="1"/>
  <c r="M5" i="1"/>
  <c r="N5" i="1" s="1"/>
  <c r="M13" i="1"/>
  <c r="N13" i="1" s="1"/>
  <c r="M3" i="1"/>
  <c r="O3" i="1" s="1"/>
  <c r="M11" i="1"/>
  <c r="N11" i="1" s="1"/>
  <c r="M6" i="1"/>
  <c r="N6" i="1" s="1"/>
  <c r="M14" i="1"/>
  <c r="O14" i="1" s="1"/>
  <c r="O18" i="1"/>
  <c r="N18" i="1"/>
  <c r="N16" i="1"/>
  <c r="O7" i="1" l="1"/>
  <c r="N9" i="1"/>
  <c r="N10" i="1"/>
  <c r="O2" i="1"/>
  <c r="O19" i="1"/>
  <c r="O11" i="1"/>
  <c r="O8" i="1"/>
  <c r="N4" i="1"/>
  <c r="N17" i="1"/>
  <c r="N14" i="1"/>
  <c r="O13" i="1"/>
  <c r="O6" i="1"/>
  <c r="O5" i="1"/>
  <c r="N15" i="1"/>
  <c r="O12" i="1"/>
  <c r="N3" i="1"/>
</calcChain>
</file>

<file path=xl/sharedStrings.xml><?xml version="1.0" encoding="utf-8"?>
<sst xmlns="http://schemas.openxmlformats.org/spreadsheetml/2006/main" count="80" uniqueCount="49">
  <si>
    <t>Distância</t>
  </si>
  <si>
    <t>Equipamento</t>
  </si>
  <si>
    <t>Rota</t>
  </si>
  <si>
    <t>Entregas</t>
  </si>
  <si>
    <t>Valor NF</t>
  </si>
  <si>
    <t>TABELA</t>
  </si>
  <si>
    <t>TIPOLOGIA</t>
  </si>
  <si>
    <t>SAIDA</t>
  </si>
  <si>
    <t>KM</t>
  </si>
  <si>
    <t>FIORINO</t>
  </si>
  <si>
    <t>SEMI-LEVE</t>
  </si>
  <si>
    <t>3/4</t>
  </si>
  <si>
    <t>TOCO</t>
  </si>
  <si>
    <t>TRUCK</t>
  </si>
  <si>
    <t>BI-TRUCK</t>
  </si>
  <si>
    <t>Capacidade Veiculo</t>
  </si>
  <si>
    <t>Diaria</t>
  </si>
  <si>
    <t>Custo Km</t>
  </si>
  <si>
    <t>Custo Saida</t>
  </si>
  <si>
    <t>Custo Total2</t>
  </si>
  <si>
    <t>Valor Frete Nf</t>
  </si>
  <si>
    <t>Frete/Kg</t>
  </si>
  <si>
    <t>Ocupação</t>
  </si>
  <si>
    <t>Capacidade</t>
  </si>
  <si>
    <t>SUPER 3/4</t>
  </si>
  <si>
    <t>BH DIAMANTE/NOVA LIMA</t>
  </si>
  <si>
    <t>PIRAPORA/JANUARIA/JANAUBA</t>
  </si>
  <si>
    <t>PASSOS/POCOS/ALFENAS</t>
  </si>
  <si>
    <t>SANTANA DO PARAISO/CARATINGA/TEOFILO OTONI</t>
  </si>
  <si>
    <t>ITAUNA/DIVINOPOLIS(2 LOJAS)/BOM DESPACHO/PARA DE MINAS</t>
  </si>
  <si>
    <t>CURVELO/SETE LAGOAS/PEDRO LEOPOLDO/VESPASIANO</t>
  </si>
  <si>
    <t>UBERLANDIA(1 LOJA)/ARAPORA/ITUIUTABA</t>
  </si>
  <si>
    <t>UBERLANDIA (3 LOJAS)/ARAGUARI</t>
  </si>
  <si>
    <t>UBA/LEOPOLDINA/JUIZ DE FORA(2 LOJAS)</t>
  </si>
  <si>
    <t>LAVRAS/TRES PONTAS/CAMPO BELO</t>
  </si>
  <si>
    <t>PATOS DE MINAS (2 LOJAS)/PATROCINIO/MONTE CARMELO/UNAI</t>
  </si>
  <si>
    <t>CONGONHAS/CONSELHEIRO LAFAIETE/BARBACENA/SÃO JOAO DEL REI</t>
  </si>
  <si>
    <t>ARAXA/UBERABA (3 LOJAS)</t>
  </si>
  <si>
    <t>CONTAGEM (3 LOJAS)</t>
  </si>
  <si>
    <t>BETIM( 2 LOJAS)</t>
  </si>
  <si>
    <t>VARGINHA/TRES CORAÇOES/POUSO ALEGRE/EXTREMA</t>
  </si>
  <si>
    <t>MONTES CLAROS (3 LOJAS)</t>
  </si>
  <si>
    <t>BH JAQUELINE/SANTA LUZIA/JOAO MONLEVADE/ITABIRITO</t>
  </si>
  <si>
    <t>MAROSO</t>
  </si>
  <si>
    <t>VUC</t>
  </si>
  <si>
    <t>COOPERTRAL</t>
  </si>
  <si>
    <t>Transportadora</t>
  </si>
  <si>
    <t>Peso Bruto</t>
  </si>
  <si>
    <t>Peso Liquido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</si>
</sst>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1454817346722"/>
      </top>
      <bottom style="thin">
        <color theme="4" tint="0.39991454817346722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33" borderId="13" xfId="0" applyFont="1" applyFill="1" applyBorder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44" fontId="19" fillId="0" borderId="11" xfId="0" applyNumberFormat="1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44" fontId="21" fillId="0" borderId="12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4" fontId="0" fillId="0" borderId="0" xfId="0" applyNumberFormat="1" applyFill="1" applyAlignment="1">
      <alignment horizontal="center" vertical="center"/>
    </xf>
    <xf numFmtId="44" fontId="0" fillId="0" borderId="0" xfId="1" applyFont="1" applyFill="1" applyAlignment="1">
      <alignment horizontal="center" vertical="center"/>
    </xf>
    <xf numFmtId="44" fontId="0" fillId="0" borderId="0" xfId="0" applyNumberFormat="1" applyFill="1" applyAlignment="1">
      <alignment horizontal="center" vertical="center"/>
    </xf>
    <xf numFmtId="164" fontId="0" fillId="0" borderId="0" xfId="2" applyNumberFormat="1" applyFont="1" applyFill="1" applyAlignment="1">
      <alignment horizontal="center" vertical="center"/>
    </xf>
    <xf numFmtId="9" fontId="0" fillId="0" borderId="0" xfId="2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</cellXfs>
  <cellStyles count="44">
    <cellStyle name="20% - Ênfase1" xfId="21" builtinId="30" customBuiltin="1"/>
    <cellStyle name="20% - Ênfase2" xfId="25" builtinId="34" customBuiltin="1"/>
    <cellStyle name="20% - Ênfase3" xfId="29" builtinId="38" customBuiltin="1"/>
    <cellStyle name="20% - Ênfase4" xfId="33" builtinId="42" customBuiltin="1"/>
    <cellStyle name="20% - Ênfase5" xfId="37" builtinId="46" customBuiltin="1"/>
    <cellStyle name="20% - Ênfase6" xfId="41" builtinId="50" customBuiltin="1"/>
    <cellStyle name="40% - Ênfase1" xfId="22" builtinId="31" customBuiltin="1"/>
    <cellStyle name="40% - Ênfase2" xfId="26" builtinId="35" customBuiltin="1"/>
    <cellStyle name="40% - Ênfase3" xfId="30" builtinId="39" customBuiltin="1"/>
    <cellStyle name="40% - Ênfase4" xfId="34" builtinId="43" customBuiltin="1"/>
    <cellStyle name="40% - Ênfase5" xfId="38" builtinId="47" customBuiltin="1"/>
    <cellStyle name="40% - Ênfase6" xfId="42" builtinId="51" customBuiltin="1"/>
    <cellStyle name="60% - Ênfase1" xfId="23" builtinId="32" customBuiltin="1"/>
    <cellStyle name="60% - Ênfase2" xfId="27" builtinId="36" customBuiltin="1"/>
    <cellStyle name="60% - Ênfase3" xfId="31" builtinId="40" customBuiltin="1"/>
    <cellStyle name="60% - Ênfase4" xfId="35" builtinId="44" customBuiltin="1"/>
    <cellStyle name="60% - Ênfase5" xfId="39" builtinId="48" customBuiltin="1"/>
    <cellStyle name="60% - Ênfase6" xfId="43" builtinId="52" customBuiltin="1"/>
    <cellStyle name="Bom" xfId="8" builtinId="26" customBuiltin="1"/>
    <cellStyle name="Cálculo" xfId="13" builtinId="22" customBuiltin="1"/>
    <cellStyle name="Célula de Verificação" xfId="15" builtinId="23" customBuiltin="1"/>
    <cellStyle name="Célula Vinculada" xfId="14" builtinId="24" customBuiltin="1"/>
    <cellStyle name="Ênfase1" xfId="20" builtinId="29" customBuiltin="1"/>
    <cellStyle name="Ênfase2" xfId="24" builtinId="33" customBuiltin="1"/>
    <cellStyle name="Ênfase3" xfId="28" builtinId="37" customBuiltin="1"/>
    <cellStyle name="Ênfase4" xfId="32" builtinId="41" customBuiltin="1"/>
    <cellStyle name="Ênfase5" xfId="36" builtinId="45" customBuiltin="1"/>
    <cellStyle name="Ênfase6" xfId="40" builtinId="49" customBuiltin="1"/>
    <cellStyle name="Entrada" xfId="11" builtinId="20" customBuiltin="1"/>
    <cellStyle name="Moeda" xfId="1" builtinId="4"/>
    <cellStyle name="Neutro" xfId="10" builtinId="28" customBuiltin="1"/>
    <cellStyle name="Normal" xfId="0" builtinId="0"/>
    <cellStyle name="Nota" xfId="17" builtinId="10" customBuiltin="1"/>
    <cellStyle name="Porcentagem" xfId="2" builtinId="5"/>
    <cellStyle name="Ruim" xfId="9" builtinId="27" customBuiltin="1"/>
    <cellStyle name="Saída" xfId="12" builtinId="21" customBuiltin="1"/>
    <cellStyle name="Texto de Aviso" xfId="16" builtinId="11" customBuiltin="1"/>
    <cellStyle name="Texto Explicativo" xfId="18" builtinId="53" customBuiltin="1"/>
    <cellStyle name="Título" xfId="3" builtinId="15" customBuiltin="1"/>
    <cellStyle name="Título 1" xfId="4" builtinId="16" customBuiltin="1"/>
    <cellStyle name="Título 2" xfId="5" builtinId="17" customBuiltin="1"/>
    <cellStyle name="Título 3" xfId="6" builtinId="18" customBuiltin="1"/>
    <cellStyle name="Título 4" xfId="7" builtinId="19" customBuiltin="1"/>
    <cellStyle name="Total" xfId="19" builtinId="25" customBuiltin="1"/>
  </cellStyles>
  <dxfs count="39"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numFmt numFmtId="167" formatCode="_-&quot;R$&quot;\ * #,##0.0000_-;\-&quot;R$&quot;\ * #,##0.00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1454817346722"/>
        </top>
        <bottom style="thin">
          <color theme="4" tint="0.399914548173467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1454817346722"/>
        </top>
        <bottom style="thin">
          <color theme="4" tint="0.399914548173467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1454817346722"/>
        </top>
        <bottom style="thin">
          <color theme="4" tint="0.399914548173467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1454817346722"/>
        </top>
        <bottom style="thin">
          <color theme="4" tint="0.39991454817346722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97E5B8-01EF-41FD-8471-0356D29E3D00}" name="Tabela5" displayName="Tabela5" ref="A1:E12" totalsRowShown="0" headerRowDxfId="31" headerRowBorderDxfId="37" tableBorderDxfId="38">
  <tableColumns count="5">
    <tableColumn id="1" xr3:uid="{0111E188-EAFA-4821-A8A2-DADA3FB10B4D}" name="TABELA" dataDxfId="36"/>
    <tableColumn id="2" xr3:uid="{392368A9-A6CC-4347-B562-1A3BFEB31109}" name="TIPOLOGIA" dataDxfId="35"/>
    <tableColumn id="3" xr3:uid="{FE028D04-3BAD-4684-8E1D-A24664F6F5AC}" name="KM" dataDxfId="34"/>
    <tableColumn id="4" xr3:uid="{6C80EC1A-8D9B-46A1-8769-CBB079C5D3A4}" name="SAIDA" dataDxfId="33"/>
    <tableColumn id="5" xr3:uid="{D7FABF29-1402-46A4-AE63-A0927B0A8A32}" name="Capacidade Veiculo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8FDA290-E864-43C8-9297-FD35528DFE36}" name="Tabela17" displayName="Tabela17" ref="A1:P19" headerRowDxfId="30" dataDxfId="6" totalsRowDxfId="29">
  <tableColumns count="16">
    <tableColumn id="1" xr3:uid="{C1C398AE-1BFF-4EDF-8309-692687E139F3}" name="Rota" dataDxfId="17"/>
    <tableColumn id="2" xr3:uid="{F6604A41-E8B7-4A61-9C6C-5EE7A006178D}" name="Entregas" dataDxfId="3"/>
    <tableColumn id="3" xr3:uid="{CD0997F8-CB0D-4572-A8BD-DF075C136687}" name="Peso Bruto" totalsRowFunction="custom" dataDxfId="2">
      <totalsRowFormula>SUM(Tabela17[Peso Bruto])</totalsRowFormula>
    </tableColumn>
    <tableColumn id="16" xr3:uid="{D05178F7-FCA5-4678-9154-1D6225CEE780}" name="Peso Liquido" dataDxfId="0">
      <calculatedColumnFormula>Tabela17[[#This Row],[Peso Bruto]]*(1-5%)</calculatedColumnFormula>
    </tableColumn>
    <tableColumn id="4" xr3:uid="{6CD6DE0D-3C5A-4AF1-B97B-966727E39822}" name="Distância" totalsRowFunction="custom" dataDxfId="1" totalsRowDxfId="28">
      <totalsRowFormula>SUM(Tabela17[Distância])</totalsRowFormula>
    </tableColumn>
    <tableColumn id="5" xr3:uid="{33A9C7E5-E616-4846-9BB9-ECC7D3C0C70D}" name="Equipamento" totalsRowFunction="custom" dataDxfId="16" totalsRowDxfId="27">
      <totalsRowFormula>SUM(Tabela17[Equipamento])</totalsRowFormula>
    </tableColumn>
    <tableColumn id="7" xr3:uid="{F89A81C3-4286-4BBC-B4B4-5529C2D56120}" name="Transportadora" dataDxfId="4" totalsRowDxfId="5"/>
    <tableColumn id="17" xr3:uid="{37C4FF9C-8082-466A-B46B-5061D4FA5EA1}" name="Capacidade" totalsRowFunction="custom" dataDxfId="15" totalsRowDxfId="26">
      <calculatedColumnFormula>VLOOKUP($F:$F,Planilha1!B:E,4,0)</calculatedColumnFormula>
      <totalsRowFormula>SUM(Tabela17[Capacidade])</totalsRowFormula>
    </tableColumn>
    <tableColumn id="8" xr3:uid="{BEC259E6-D569-4D10-85C1-552C8F481BE1}" name="Valor NF" totalsRowFunction="custom" dataDxfId="14" totalsRowDxfId="25">
      <totalsRowFormula>SUM(Tabela17[Valor NF])</totalsRowFormula>
    </tableColumn>
    <tableColumn id="9" xr3:uid="{68E4B5AE-545F-4AB1-B026-F80047696F2F}" name="Diaria" totalsRowFunction="custom" dataDxfId="13" totalsRowDxfId="24">
      <calculatedColumnFormula>Tabela17[[#This Row],[Entregas]]-1</calculatedColumnFormula>
      <totalsRowFormula>SUM(Tabela17[Diaria])</totalsRowFormula>
    </tableColumn>
    <tableColumn id="10" xr3:uid="{FACD95BE-98C6-4069-A7F6-1AB2400DD621}" name="Custo Km" totalsRowFunction="custom" dataDxfId="12" totalsRowDxfId="23">
      <calculatedColumnFormula>VLOOKUP(Tabela17[[#This Row],[Equipamento]],Planilha1!$B$1:$C$8,2,0)</calculatedColumnFormula>
      <totalsRowFormula>SUM(Tabela17[Custo Km])</totalsRowFormula>
    </tableColumn>
    <tableColumn id="11" xr3:uid="{A4626332-42B1-46D6-9631-6D70766DD4C4}" name="Custo Saida" totalsRowFunction="custom" dataDxfId="11" totalsRowDxfId="22" dataCellStyle="Moeda">
      <calculatedColumnFormula>VLOOKUP(Tabela17[[#This Row],[Equipamento]],Planilha1!B:E,3,0)</calculatedColumnFormula>
      <totalsRowFormula>SUM(Tabela17[Custo Saida])</totalsRowFormula>
    </tableColumn>
    <tableColumn id="12" xr3:uid="{5CCA671F-8252-40E7-B7B8-0BE8999DC88B}" name="Custo Total2" totalsRowFunction="custom" dataDxfId="10" totalsRowDxfId="21">
      <calculatedColumnFormula>(Tabela17[[#This Row],[Custo Km]]*Tabela17[[#This Row],[Distância]])+(Tabela17[[#This Row],[Custo Saida]]*Tabela17[[#This Row],[Diaria]])+(Tabela17[[#This Row],[Custo Saida]])</calculatedColumnFormula>
      <totalsRowFormula>SUM(Tabela17[Custo Total2])</totalsRowFormula>
    </tableColumn>
    <tableColumn id="13" xr3:uid="{E7C4A749-57BC-4517-BD84-C58B8532FCA4}" name="Valor Frete Nf" totalsRowFunction="custom" dataDxfId="9" totalsRowDxfId="20" dataCellStyle="Porcentagem">
      <calculatedColumnFormula>Tabela17[[#This Row],[Custo Total2]]/Tabela17[[#This Row],[Valor NF]]</calculatedColumnFormula>
      <totalsRowFormula>Tabela17[[#Totals],[Custo Total2]]/Tabela17[[#Totals],[Valor NF]]</totalsRowFormula>
    </tableColumn>
    <tableColumn id="14" xr3:uid="{F533873E-FF62-4BF9-A5FA-05B7E5D75D2E}" name="Frete/Kg" totalsRowFunction="custom" dataDxfId="8" totalsRowDxfId="19">
      <calculatedColumnFormula>Tabela17[[#This Row],[Custo Total2]]/Tabela17[[#This Row],[Peso Bruto]]</calculatedColumnFormula>
      <totalsRowFormula>Tabela17[[#Totals],[Custo Total2]]/Tabela17[[#Totals],[Peso Bruto]]</totalsRowFormula>
    </tableColumn>
    <tableColumn id="15" xr3:uid="{8C79BE2D-E6C8-47CB-B7A4-522D00A85A1A}" name="Ocupação" totalsRowFunction="custom" dataDxfId="7" totalsRowDxfId="18" dataCellStyle="Porcentagem">
      <calculatedColumnFormula>Tabela17[[#This Row],[Peso Bruto]]/Tabela17[[#This Row],[Capacidade]]</calculatedColumnFormula>
      <totalsRowFormula>Tabela17[[#Totals],[Peso Bruto]]/Tabela17[[#Totals],[Capacidade]]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2EC6-F454-439A-BC29-D234FA423DC1}">
  <dimension ref="A1:E12"/>
  <sheetViews>
    <sheetView workbookViewId="0">
      <selection activeCell="B19" sqref="B19"/>
    </sheetView>
  </sheetViews>
  <sheetFormatPr defaultRowHeight="14.5"/>
  <cols>
    <col min="1" max="1" width="21.54296875" bestFit="1" customWidth="1"/>
    <col min="2" max="2" width="11.1796875" customWidth="1"/>
    <col min="3" max="4" width="10.6328125" bestFit="1" customWidth="1"/>
    <col min="5" max="5" width="17.7265625" customWidth="1"/>
    <col min="11" max="11" width="10.6328125" bestFit="1" customWidth="1"/>
  </cols>
  <sheetData>
    <row r="1" spans="1:5">
      <c r="A1" s="6" t="s">
        <v>5</v>
      </c>
      <c r="B1" s="7" t="s">
        <v>6</v>
      </c>
      <c r="C1" s="7" t="s">
        <v>8</v>
      </c>
      <c r="D1" s="7" t="s">
        <v>7</v>
      </c>
      <c r="E1" s="7" t="s">
        <v>15</v>
      </c>
    </row>
    <row r="2" spans="1:5">
      <c r="A2" s="8" t="s">
        <v>45</v>
      </c>
      <c r="B2" s="9" t="s">
        <v>9</v>
      </c>
      <c r="C2" s="10">
        <v>1.03</v>
      </c>
      <c r="D2" s="10">
        <v>297</v>
      </c>
      <c r="E2" s="9">
        <v>500</v>
      </c>
    </row>
    <row r="3" spans="1:5">
      <c r="A3" s="8" t="s">
        <v>45</v>
      </c>
      <c r="B3" s="9" t="s">
        <v>10</v>
      </c>
      <c r="C3" s="10">
        <v>1.5</v>
      </c>
      <c r="D3" s="10">
        <v>500</v>
      </c>
      <c r="E3" s="9">
        <v>1500</v>
      </c>
    </row>
    <row r="4" spans="1:5">
      <c r="A4" s="8" t="s">
        <v>45</v>
      </c>
      <c r="B4" s="9" t="s">
        <v>11</v>
      </c>
      <c r="C4" s="10">
        <v>2.6</v>
      </c>
      <c r="D4" s="10">
        <v>1088</v>
      </c>
      <c r="E4" s="9">
        <v>3500</v>
      </c>
    </row>
    <row r="5" spans="1:5">
      <c r="A5" s="8" t="s">
        <v>45</v>
      </c>
      <c r="B5" s="9" t="s">
        <v>24</v>
      </c>
      <c r="C5" s="10">
        <v>2.75</v>
      </c>
      <c r="D5" s="10">
        <v>1000</v>
      </c>
      <c r="E5" s="9">
        <v>5000</v>
      </c>
    </row>
    <row r="6" spans="1:5">
      <c r="A6" s="8" t="s">
        <v>45</v>
      </c>
      <c r="B6" s="9" t="s">
        <v>12</v>
      </c>
      <c r="C6" s="10">
        <v>3.6</v>
      </c>
      <c r="D6" s="10">
        <v>1295</v>
      </c>
      <c r="E6" s="9">
        <v>6000</v>
      </c>
    </row>
    <row r="7" spans="1:5">
      <c r="A7" s="8" t="s">
        <v>45</v>
      </c>
      <c r="B7" s="9" t="s">
        <v>13</v>
      </c>
      <c r="C7" s="10">
        <v>4.5999999999999996</v>
      </c>
      <c r="D7" s="10">
        <v>1535</v>
      </c>
      <c r="E7" s="9">
        <v>11000</v>
      </c>
    </row>
    <row r="8" spans="1:5">
      <c r="A8" s="8" t="s">
        <v>45</v>
      </c>
      <c r="B8" s="9" t="s">
        <v>14</v>
      </c>
      <c r="C8" s="10">
        <v>5.0999999999999996</v>
      </c>
      <c r="D8" s="10">
        <v>2000</v>
      </c>
      <c r="E8" s="9">
        <v>16000</v>
      </c>
    </row>
    <row r="9" spans="1:5">
      <c r="A9" s="11" t="s">
        <v>43</v>
      </c>
      <c r="B9" s="11" t="s">
        <v>44</v>
      </c>
      <c r="C9" s="12">
        <v>750</v>
      </c>
      <c r="D9" s="12">
        <v>1.7</v>
      </c>
      <c r="E9" s="13">
        <v>2500</v>
      </c>
    </row>
    <row r="10" spans="1:5">
      <c r="A10" s="11" t="s">
        <v>43</v>
      </c>
      <c r="B10" s="11" t="s">
        <v>11</v>
      </c>
      <c r="C10" s="12">
        <v>1000</v>
      </c>
      <c r="D10" s="12">
        <v>2.68</v>
      </c>
      <c r="E10" s="13">
        <v>3500</v>
      </c>
    </row>
    <row r="11" spans="1:5">
      <c r="A11" s="11" t="s">
        <v>43</v>
      </c>
      <c r="B11" s="11" t="s">
        <v>24</v>
      </c>
      <c r="C11" s="12">
        <v>1075</v>
      </c>
      <c r="D11" s="12">
        <v>2.78</v>
      </c>
      <c r="E11" s="13">
        <v>5000</v>
      </c>
    </row>
    <row r="12" spans="1:5">
      <c r="A12" s="11" t="s">
        <v>43</v>
      </c>
      <c r="B12" s="11" t="s">
        <v>12</v>
      </c>
      <c r="C12" s="12">
        <v>1075</v>
      </c>
      <c r="D12" s="12">
        <v>2.78</v>
      </c>
      <c r="E12" s="13">
        <v>6000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D33D2-78BA-4F55-B1EC-B3D33EBF5A33}">
  <dimension ref="A1:Q29"/>
  <sheetViews>
    <sheetView showGridLines="0" tabSelected="1" topLeftCell="B1" workbookViewId="0">
      <selection activeCell="H33" sqref="H33"/>
    </sheetView>
  </sheetViews>
  <sheetFormatPr defaultRowHeight="14.5"/>
  <cols>
    <col min="1" max="1" width="60.453125" style="5" bestFit="1" customWidth="1"/>
    <col min="2" max="2" width="8.08984375" style="1" bestFit="1" customWidth="1"/>
    <col min="3" max="3" width="9.81640625" style="21" bestFit="1" customWidth="1"/>
    <col min="4" max="4" width="11.7265625" style="21" bestFit="1" customWidth="1"/>
    <col min="5" max="5" width="8.6328125" style="1" customWidth="1"/>
    <col min="6" max="6" width="12.08984375" style="1" bestFit="1" customWidth="1"/>
    <col min="7" max="7" width="12.08984375" style="1" customWidth="1"/>
    <col min="8" max="8" width="10.453125" style="1" bestFit="1" customWidth="1"/>
    <col min="9" max="9" width="9.81640625" style="1" bestFit="1" customWidth="1"/>
    <col min="10" max="10" width="5.7265625" style="1" bestFit="1" customWidth="1"/>
    <col min="11" max="11" width="8.81640625" style="1" bestFit="1" customWidth="1"/>
    <col min="12" max="12" width="11.81640625" style="2" bestFit="1" customWidth="1"/>
    <col min="13" max="13" width="11.6328125" style="1" bestFit="1" customWidth="1"/>
    <col min="14" max="14" width="12.453125" style="3" bestFit="1" customWidth="1"/>
    <col min="15" max="15" width="8.08984375" style="1" bestFit="1" customWidth="1"/>
    <col min="16" max="16" width="9.08984375" style="4" bestFit="1" customWidth="1"/>
    <col min="17" max="16384" width="8.7265625" style="1"/>
  </cols>
  <sheetData>
    <row r="1" spans="1:17">
      <c r="A1" s="5" t="s">
        <v>2</v>
      </c>
      <c r="B1" s="1" t="s">
        <v>3</v>
      </c>
      <c r="C1" s="21" t="s">
        <v>47</v>
      </c>
      <c r="D1" s="21" t="s">
        <v>48</v>
      </c>
      <c r="E1" s="1" t="s">
        <v>0</v>
      </c>
      <c r="F1" s="1" t="s">
        <v>1</v>
      </c>
      <c r="G1" s="1" t="s">
        <v>46</v>
      </c>
      <c r="H1" s="1" t="s">
        <v>23</v>
      </c>
      <c r="I1" s="1" t="s">
        <v>4</v>
      </c>
      <c r="J1" s="1" t="s">
        <v>16</v>
      </c>
      <c r="K1" s="1" t="s">
        <v>17</v>
      </c>
      <c r="L1" s="2" t="s">
        <v>18</v>
      </c>
      <c r="M1" s="1" t="s">
        <v>19</v>
      </c>
      <c r="N1" s="3" t="s">
        <v>20</v>
      </c>
      <c r="O1" s="1" t="s">
        <v>21</v>
      </c>
      <c r="P1" s="4" t="s">
        <v>22</v>
      </c>
    </row>
    <row r="2" spans="1:17">
      <c r="A2" s="14" t="s">
        <v>26</v>
      </c>
      <c r="B2" s="15">
        <v>3</v>
      </c>
      <c r="C2" s="22">
        <v>1987.4569999999999</v>
      </c>
      <c r="D2" s="22">
        <f>Tabela17[[#This Row],[Peso Bruto]]*(1-5%)</f>
        <v>1888.0841499999999</v>
      </c>
      <c r="E2" s="16">
        <v>1505.08</v>
      </c>
      <c r="F2" s="15" t="s">
        <v>11</v>
      </c>
      <c r="G2" s="15" t="s">
        <v>45</v>
      </c>
      <c r="H2" s="15">
        <f>VLOOKUP($F:$F,Planilha1!B:E,4,0)</f>
        <v>3500</v>
      </c>
      <c r="I2" s="16">
        <v>97082.63</v>
      </c>
      <c r="J2" s="15">
        <f>Tabela17[[#This Row],[Entregas]]-1</f>
        <v>2</v>
      </c>
      <c r="K2" s="15">
        <f>VLOOKUP(Tabela17[[#This Row],[Equipamento]],Planilha1!$B$1:$C$8,2,0)</f>
        <v>2.6</v>
      </c>
      <c r="L2" s="17">
        <f>VLOOKUP(Tabela17[[#This Row],[Equipamento]],Planilha1!B:E,3,0)</f>
        <v>1088</v>
      </c>
      <c r="M2" s="18">
        <f>(Tabela17[[#This Row],[Custo Km]]*Tabela17[[#This Row],[Distância]])+(Tabela17[[#This Row],[Custo Saida]]*Tabela17[[#This Row],[Diaria]])+(Tabela17[[#This Row],[Custo Saida]])</f>
        <v>7177.2080000000005</v>
      </c>
      <c r="N2" s="19">
        <f>Tabela17[[#This Row],[Custo Total2]]/Tabela17[[#This Row],[Valor NF]]</f>
        <v>7.3928858334390002E-2</v>
      </c>
      <c r="O2" s="18">
        <f>Tabela17[[#This Row],[Custo Total2]]/Tabela17[[#This Row],[Peso Bruto]]</f>
        <v>3.6112519667092173</v>
      </c>
      <c r="P2" s="20">
        <f>Tabela17[[#This Row],[Peso Bruto]]/Tabela17[[#This Row],[Capacidade]]</f>
        <v>0.56784485714285715</v>
      </c>
      <c r="Q2" s="15"/>
    </row>
    <row r="3" spans="1:17">
      <c r="A3" s="14" t="s">
        <v>28</v>
      </c>
      <c r="B3" s="15">
        <v>3</v>
      </c>
      <c r="C3" s="22">
        <v>2080.3384999999998</v>
      </c>
      <c r="D3" s="22">
        <f>Tabela17[[#This Row],[Peso Bruto]]*(1-5%)</f>
        <v>1976.3215749999997</v>
      </c>
      <c r="E3" s="16">
        <v>1020.76</v>
      </c>
      <c r="F3" s="15" t="s">
        <v>11</v>
      </c>
      <c r="G3" s="15"/>
      <c r="H3" s="15">
        <f>VLOOKUP($F:$F,Planilha1!B:E,4,0)</f>
        <v>3500</v>
      </c>
      <c r="I3" s="16">
        <v>129390.57</v>
      </c>
      <c r="J3" s="15">
        <f>Tabela17[[#This Row],[Entregas]]-1</f>
        <v>2</v>
      </c>
      <c r="K3" s="15">
        <f>VLOOKUP(Tabela17[[#This Row],[Equipamento]],Planilha1!$B$1:$C$8,2,0)</f>
        <v>2.6</v>
      </c>
      <c r="L3" s="17">
        <f>VLOOKUP(Tabela17[[#This Row],[Equipamento]],Planilha1!B:E,3,0)</f>
        <v>1088</v>
      </c>
      <c r="M3" s="18">
        <f>(Tabela17[[#This Row],[Custo Km]]*Tabela17[[#This Row],[Distância]])+(Tabela17[[#This Row],[Custo Saida]]*Tabela17[[#This Row],[Diaria]])+(Tabela17[[#This Row],[Custo Saida]])</f>
        <v>5917.9760000000006</v>
      </c>
      <c r="N3" s="19">
        <f>Tabela17[[#This Row],[Custo Total2]]/Tabela17[[#This Row],[Valor NF]]</f>
        <v>4.5737305276574637E-2</v>
      </c>
      <c r="O3" s="18">
        <f>Tabela17[[#This Row],[Custo Total2]]/Tabela17[[#This Row],[Peso Bruto]]</f>
        <v>2.8447178187588227</v>
      </c>
      <c r="P3" s="20">
        <f>Tabela17[[#This Row],[Peso Bruto]]/Tabela17[[#This Row],[Capacidade]]</f>
        <v>0.59438242857142853</v>
      </c>
      <c r="Q3" s="15"/>
    </row>
    <row r="4" spans="1:17">
      <c r="A4" s="14" t="s">
        <v>29</v>
      </c>
      <c r="B4" s="15">
        <v>5</v>
      </c>
      <c r="C4" s="22">
        <v>2340.7240000000002</v>
      </c>
      <c r="D4" s="22">
        <f>Tabela17[[#This Row],[Peso Bruto]]*(1-5%)</f>
        <v>2223.6878000000002</v>
      </c>
      <c r="E4" s="15">
        <v>357.15</v>
      </c>
      <c r="F4" s="15" t="s">
        <v>11</v>
      </c>
      <c r="G4" s="15"/>
      <c r="H4" s="15">
        <f>VLOOKUP($F:$F,Planilha1!B:E,4,0)</f>
        <v>3500</v>
      </c>
      <c r="I4" s="16">
        <v>205139.05</v>
      </c>
      <c r="J4" s="15">
        <f>Tabela17[[#This Row],[Entregas]]-1</f>
        <v>4</v>
      </c>
      <c r="K4" s="15">
        <f>VLOOKUP(Tabela17[[#This Row],[Equipamento]],Planilha1!$B$1:$C$8,2,0)</f>
        <v>2.6</v>
      </c>
      <c r="L4" s="17">
        <f>VLOOKUP(Tabela17[[#This Row],[Equipamento]],Planilha1!B:E,3,0)</f>
        <v>1088</v>
      </c>
      <c r="M4" s="18">
        <f>(Tabela17[[#This Row],[Custo Km]]*Tabela17[[#This Row],[Distância]])+(Tabela17[[#This Row],[Custo Saida]]*Tabela17[[#This Row],[Diaria]])+(Tabela17[[#This Row],[Custo Saida]])</f>
        <v>6368.59</v>
      </c>
      <c r="N4" s="19">
        <f>Tabela17[[#This Row],[Custo Total2]]/Tabela17[[#This Row],[Valor NF]]</f>
        <v>3.1045234927235942E-2</v>
      </c>
      <c r="O4" s="18">
        <f>Tabela17[[#This Row],[Custo Total2]]/Tabela17[[#This Row],[Peso Bruto]]</f>
        <v>2.7207778448035733</v>
      </c>
      <c r="P4" s="20">
        <f>Tabela17[[#This Row],[Peso Bruto]]/Tabela17[[#This Row],[Capacidade]]</f>
        <v>0.66877828571428577</v>
      </c>
      <c r="Q4" s="15"/>
    </row>
    <row r="5" spans="1:17">
      <c r="A5" s="14" t="s">
        <v>31</v>
      </c>
      <c r="B5" s="15">
        <v>3</v>
      </c>
      <c r="C5" s="22">
        <v>2356.4749999999999</v>
      </c>
      <c r="D5" s="22">
        <f>Tabela17[[#This Row],[Peso Bruto]]*(1-5%)</f>
        <v>2238.6512499999999</v>
      </c>
      <c r="E5" s="16">
        <v>1423.32</v>
      </c>
      <c r="F5" s="15" t="s">
        <v>11</v>
      </c>
      <c r="G5" s="15"/>
      <c r="H5" s="15">
        <f>VLOOKUP($F:$F,Planilha1!B:E,4,0)</f>
        <v>3500</v>
      </c>
      <c r="I5" s="16">
        <v>91250.5</v>
      </c>
      <c r="J5" s="15">
        <f>Tabela17[[#This Row],[Entregas]]-1</f>
        <v>2</v>
      </c>
      <c r="K5" s="15">
        <f>VLOOKUP(Tabela17[[#This Row],[Equipamento]],Planilha1!$B$1:$C$8,2,0)</f>
        <v>2.6</v>
      </c>
      <c r="L5" s="17">
        <f>VLOOKUP(Tabela17[[#This Row],[Equipamento]],Planilha1!B:E,3,0)</f>
        <v>1088</v>
      </c>
      <c r="M5" s="18">
        <f>(Tabela17[[#This Row],[Custo Km]]*Tabela17[[#This Row],[Distância]])+(Tabela17[[#This Row],[Custo Saida]]*Tabela17[[#This Row],[Diaria]])+(Tabela17[[#This Row],[Custo Saida]])</f>
        <v>6964.6319999999996</v>
      </c>
      <c r="N5" s="19">
        <f>Tabela17[[#This Row],[Custo Total2]]/Tabela17[[#This Row],[Valor NF]]</f>
        <v>7.6324316031145034E-2</v>
      </c>
      <c r="O5" s="18">
        <f>Tabela17[[#This Row],[Custo Total2]]/Tabela17[[#This Row],[Peso Bruto]]</f>
        <v>2.9555297637360889</v>
      </c>
      <c r="P5" s="20">
        <f>Tabela17[[#This Row],[Peso Bruto]]/Tabela17[[#This Row],[Capacidade]]</f>
        <v>0.67327857142857139</v>
      </c>
      <c r="Q5" s="15"/>
    </row>
    <row r="6" spans="1:17">
      <c r="A6" s="14" t="s">
        <v>30</v>
      </c>
      <c r="B6" s="15">
        <v>4</v>
      </c>
      <c r="C6" s="22">
        <v>2387.6730000000002</v>
      </c>
      <c r="D6" s="22">
        <f>Tabela17[[#This Row],[Peso Bruto]]*(1-5%)</f>
        <v>2268.28935</v>
      </c>
      <c r="E6" s="15">
        <v>337.93</v>
      </c>
      <c r="F6" s="15" t="s">
        <v>11</v>
      </c>
      <c r="G6" s="15"/>
      <c r="H6" s="15">
        <f>VLOOKUP($F:$F,Planilha1!B:E,4,0)</f>
        <v>3500</v>
      </c>
      <c r="I6" s="16">
        <v>163849.98000000001</v>
      </c>
      <c r="J6" s="15">
        <f>Tabela17[[#This Row],[Entregas]]-1</f>
        <v>3</v>
      </c>
      <c r="K6" s="15">
        <f>VLOOKUP(Tabela17[[#This Row],[Equipamento]],Planilha1!$B$1:$C$8,2,0)</f>
        <v>2.6</v>
      </c>
      <c r="L6" s="17">
        <f>VLOOKUP(Tabela17[[#This Row],[Equipamento]],Planilha1!B:E,3,0)</f>
        <v>1088</v>
      </c>
      <c r="M6" s="18">
        <f>(Tabela17[[#This Row],[Custo Km]]*Tabela17[[#This Row],[Distância]])+(Tabela17[[#This Row],[Custo Saida]]*Tabela17[[#This Row],[Diaria]])+(Tabela17[[#This Row],[Custo Saida]])</f>
        <v>5230.6180000000004</v>
      </c>
      <c r="N6" s="19">
        <f>Tabela17[[#This Row],[Custo Total2]]/Tabela17[[#This Row],[Valor NF]]</f>
        <v>3.1923214149919332E-2</v>
      </c>
      <c r="O6" s="18">
        <f>Tabela17[[#This Row],[Custo Total2]]/Tabela17[[#This Row],[Peso Bruto]]</f>
        <v>2.1906760264073011</v>
      </c>
      <c r="P6" s="20">
        <f>Tabela17[[#This Row],[Peso Bruto]]/Tabela17[[#This Row],[Capacidade]]</f>
        <v>0.68219228571428581</v>
      </c>
      <c r="Q6" s="15"/>
    </row>
    <row r="7" spans="1:17">
      <c r="A7" s="14" t="s">
        <v>27</v>
      </c>
      <c r="B7" s="15">
        <v>3</v>
      </c>
      <c r="C7" s="22">
        <v>2570.3865000000001</v>
      </c>
      <c r="D7" s="22">
        <f>Tabela17[[#This Row],[Peso Bruto]]*(1-5%)</f>
        <v>2441.8671749999999</v>
      </c>
      <c r="E7" s="15">
        <v>972.56</v>
      </c>
      <c r="F7" s="15" t="s">
        <v>11</v>
      </c>
      <c r="G7" s="15"/>
      <c r="H7" s="15">
        <f>VLOOKUP($F:$F,Planilha1!B:E,4,0)</f>
        <v>3500</v>
      </c>
      <c r="I7" s="16">
        <v>133141.49</v>
      </c>
      <c r="J7" s="15">
        <f>Tabela17[[#This Row],[Entregas]]-1</f>
        <v>2</v>
      </c>
      <c r="K7" s="15">
        <f>VLOOKUP(Tabela17[[#This Row],[Equipamento]],Planilha1!$B$1:$C$8,2,0)</f>
        <v>2.6</v>
      </c>
      <c r="L7" s="17">
        <f>VLOOKUP(Tabela17[[#This Row],[Equipamento]],Planilha1!B:E,3,0)</f>
        <v>1088</v>
      </c>
      <c r="M7" s="18">
        <f>(Tabela17[[#This Row],[Custo Km]]*Tabela17[[#This Row],[Distância]])+(Tabela17[[#This Row],[Custo Saida]]*Tabela17[[#This Row],[Diaria]])+(Tabela17[[#This Row],[Custo Saida]])</f>
        <v>5792.6559999999999</v>
      </c>
      <c r="N7" s="19">
        <f>Tabela17[[#This Row],[Custo Total2]]/Tabela17[[#This Row],[Valor NF]]</f>
        <v>4.3507519707042488E-2</v>
      </c>
      <c r="O7" s="18">
        <f>Tabela17[[#This Row],[Custo Total2]]/Tabela17[[#This Row],[Peso Bruto]]</f>
        <v>2.2536128321557864</v>
      </c>
      <c r="P7" s="20">
        <f>Tabela17[[#This Row],[Peso Bruto]]/Tabela17[[#This Row],[Capacidade]]</f>
        <v>0.73439614285714283</v>
      </c>
      <c r="Q7" s="15"/>
    </row>
    <row r="8" spans="1:17">
      <c r="A8" s="14" t="s">
        <v>32</v>
      </c>
      <c r="B8" s="15">
        <v>4</v>
      </c>
      <c r="C8" s="22">
        <v>2644.8759999999997</v>
      </c>
      <c r="D8" s="22">
        <f>Tabela17[[#This Row],[Peso Bruto]]*(1-5%)</f>
        <v>2512.6321999999996</v>
      </c>
      <c r="E8" s="16">
        <v>1144.6600000000001</v>
      </c>
      <c r="F8" s="15" t="s">
        <v>11</v>
      </c>
      <c r="G8" s="15"/>
      <c r="H8" s="15">
        <f>VLOOKUP($F:$F,Planilha1!B:E,4,0)</f>
        <v>3500</v>
      </c>
      <c r="I8" s="16">
        <v>168176.59</v>
      </c>
      <c r="J8" s="15">
        <f>Tabela17[[#This Row],[Entregas]]-1</f>
        <v>3</v>
      </c>
      <c r="K8" s="15">
        <f>VLOOKUP(Tabela17[[#This Row],[Equipamento]],Planilha1!$B$1:$C$8,2,0)</f>
        <v>2.6</v>
      </c>
      <c r="L8" s="17">
        <f>VLOOKUP(Tabela17[[#This Row],[Equipamento]],Planilha1!B:E,3,0)</f>
        <v>1088</v>
      </c>
      <c r="M8" s="18">
        <f>(Tabela17[[#This Row],[Custo Km]]*Tabela17[[#This Row],[Distância]])+(Tabela17[[#This Row],[Custo Saida]]*Tabela17[[#This Row],[Diaria]])+(Tabela17[[#This Row],[Custo Saida]])</f>
        <v>7328.116</v>
      </c>
      <c r="N8" s="19">
        <f>Tabela17[[#This Row],[Custo Total2]]/Tabela17[[#This Row],[Valor NF]]</f>
        <v>4.3573936182199915E-2</v>
      </c>
      <c r="O8" s="18">
        <f>Tabela17[[#This Row],[Custo Total2]]/Tabela17[[#This Row],[Peso Bruto]]</f>
        <v>2.7706841454949118</v>
      </c>
      <c r="P8" s="20">
        <f>Tabela17[[#This Row],[Peso Bruto]]/Tabela17[[#This Row],[Capacidade]]</f>
        <v>0.7556788571428571</v>
      </c>
      <c r="Q8" s="15"/>
    </row>
    <row r="9" spans="1:17">
      <c r="A9" s="14" t="s">
        <v>33</v>
      </c>
      <c r="B9" s="15">
        <v>4</v>
      </c>
      <c r="C9" s="22">
        <v>2724.4764999999998</v>
      </c>
      <c r="D9" s="22">
        <f>Tabela17[[#This Row],[Peso Bruto]]*(1-5%)</f>
        <v>2588.2526749999997</v>
      </c>
      <c r="E9" s="15">
        <v>713.81</v>
      </c>
      <c r="F9" s="15" t="s">
        <v>11</v>
      </c>
      <c r="G9" s="15"/>
      <c r="H9" s="15">
        <f>VLOOKUP($F:$F,Planilha1!B:E,4,0)</f>
        <v>3500</v>
      </c>
      <c r="I9" s="16">
        <v>188738.53</v>
      </c>
      <c r="J9" s="15">
        <f>Tabela17[[#This Row],[Entregas]]-1</f>
        <v>3</v>
      </c>
      <c r="K9" s="15">
        <f>VLOOKUP(Tabela17[[#This Row],[Equipamento]],Planilha1!$B$1:$C$8,2,0)</f>
        <v>2.6</v>
      </c>
      <c r="L9" s="17">
        <f>VLOOKUP(Tabela17[[#This Row],[Equipamento]],Planilha1!B:E,3,0)</f>
        <v>1088</v>
      </c>
      <c r="M9" s="18">
        <f>(Tabela17[[#This Row],[Custo Km]]*Tabela17[[#This Row],[Distância]])+(Tabela17[[#This Row],[Custo Saida]]*Tabela17[[#This Row],[Diaria]])+(Tabela17[[#This Row],[Custo Saida]])</f>
        <v>6207.9059999999999</v>
      </c>
      <c r="N9" s="19">
        <f>Tabela17[[#This Row],[Custo Total2]]/Tabela17[[#This Row],[Valor NF]]</f>
        <v>3.2891566973632783E-2</v>
      </c>
      <c r="O9" s="18">
        <f>Tabela17[[#This Row],[Custo Total2]]/Tabela17[[#This Row],[Peso Bruto]]</f>
        <v>2.2785683781820105</v>
      </c>
      <c r="P9" s="20">
        <f>Tabela17[[#This Row],[Peso Bruto]]/Tabela17[[#This Row],[Capacidade]]</f>
        <v>0.77842185714285705</v>
      </c>
      <c r="Q9" s="15"/>
    </row>
    <row r="10" spans="1:17">
      <c r="A10" s="14" t="s">
        <v>25</v>
      </c>
      <c r="B10" s="15">
        <v>2</v>
      </c>
      <c r="C10" s="22">
        <v>2771.4540000000002</v>
      </c>
      <c r="D10" s="22">
        <f>Tabela17[[#This Row],[Peso Bruto]]*(1-5%)</f>
        <v>2632.8813</v>
      </c>
      <c r="E10" s="15">
        <v>82.59</v>
      </c>
      <c r="F10" s="15" t="s">
        <v>11</v>
      </c>
      <c r="G10" s="15"/>
      <c r="H10" s="15">
        <f>VLOOKUP($F:$F,Planilha1!B:E,4,0)</f>
        <v>3500</v>
      </c>
      <c r="I10" s="16">
        <v>130800</v>
      </c>
      <c r="J10" s="15">
        <f>Tabela17[[#This Row],[Entregas]]-1</f>
        <v>1</v>
      </c>
      <c r="K10" s="15">
        <f>VLOOKUP(Tabela17[[#This Row],[Equipamento]],Planilha1!$B$1:$C$8,2,0)</f>
        <v>2.6</v>
      </c>
      <c r="L10" s="17">
        <f>VLOOKUP(Tabela17[[#This Row],[Equipamento]],Planilha1!B:E,3,0)</f>
        <v>1088</v>
      </c>
      <c r="M10" s="18">
        <f>(Tabela17[[#This Row],[Custo Km]]*Tabela17[[#This Row],[Distância]])+(Tabela17[[#This Row],[Custo Saida]]*Tabela17[[#This Row],[Diaria]])+(Tabela17[[#This Row],[Custo Saida]])</f>
        <v>2390.7339999999999</v>
      </c>
      <c r="N10" s="19">
        <f>Tabela17[[#This Row],[Custo Total2]]/Tabela17[[#This Row],[Valor NF]]</f>
        <v>1.8277782874617735E-2</v>
      </c>
      <c r="O10" s="18">
        <f>Tabela17[[#This Row],[Custo Total2]]/Tabela17[[#This Row],[Peso Bruto]]</f>
        <v>0.86262806454662422</v>
      </c>
      <c r="P10" s="20">
        <f>Tabela17[[#This Row],[Peso Bruto]]/Tabela17[[#This Row],[Capacidade]]</f>
        <v>0.7918440000000001</v>
      </c>
      <c r="Q10" s="15"/>
    </row>
    <row r="11" spans="1:17">
      <c r="A11" s="14" t="s">
        <v>34</v>
      </c>
      <c r="B11" s="15">
        <v>3</v>
      </c>
      <c r="C11" s="22">
        <v>2824.4355</v>
      </c>
      <c r="D11" s="22">
        <f>Tabela17[[#This Row],[Peso Bruto]]*(1-5%)</f>
        <v>2683.2137250000001</v>
      </c>
      <c r="E11" s="15">
        <v>615.44000000000005</v>
      </c>
      <c r="F11" s="15" t="s">
        <v>11</v>
      </c>
      <c r="G11" s="15"/>
      <c r="H11" s="15">
        <f>VLOOKUP($F:$F,Planilha1!B:E,4,0)</f>
        <v>3500</v>
      </c>
      <c r="I11" s="16">
        <v>119336.83</v>
      </c>
      <c r="J11" s="15">
        <f>Tabela17[[#This Row],[Entregas]]-1</f>
        <v>2</v>
      </c>
      <c r="K11" s="15">
        <f>VLOOKUP(Tabela17[[#This Row],[Equipamento]],Planilha1!$B$1:$C$8,2,0)</f>
        <v>2.6</v>
      </c>
      <c r="L11" s="17">
        <f>VLOOKUP(Tabela17[[#This Row],[Equipamento]],Planilha1!B:E,3,0)</f>
        <v>1088</v>
      </c>
      <c r="M11" s="18">
        <f>(Tabela17[[#This Row],[Custo Km]]*Tabela17[[#This Row],[Distância]])+(Tabela17[[#This Row],[Custo Saida]]*Tabela17[[#This Row],[Diaria]])+(Tabela17[[#This Row],[Custo Saida]])</f>
        <v>4864.1440000000002</v>
      </c>
      <c r="N11" s="19">
        <f>Tabela17[[#This Row],[Custo Total2]]/Tabela17[[#This Row],[Valor NF]]</f>
        <v>4.0759788910095907E-2</v>
      </c>
      <c r="O11" s="18">
        <f>Tabela17[[#This Row],[Custo Total2]]/Tabela17[[#This Row],[Peso Bruto]]</f>
        <v>1.7221650131504154</v>
      </c>
      <c r="P11" s="20">
        <f>Tabela17[[#This Row],[Peso Bruto]]/Tabela17[[#This Row],[Capacidade]]</f>
        <v>0.80698157142857141</v>
      </c>
      <c r="Q11" s="15"/>
    </row>
    <row r="12" spans="1:17">
      <c r="A12" s="14" t="s">
        <v>35</v>
      </c>
      <c r="B12" s="15">
        <v>5</v>
      </c>
      <c r="C12" s="22">
        <v>2874.9944999999998</v>
      </c>
      <c r="D12" s="22">
        <f>Tabela17[[#This Row],[Peso Bruto]]*(1-5%)</f>
        <v>2731.2447749999997</v>
      </c>
      <c r="E12" s="16">
        <v>1510.89</v>
      </c>
      <c r="F12" s="15" t="s">
        <v>11</v>
      </c>
      <c r="G12" s="15"/>
      <c r="H12" s="15">
        <f>VLOOKUP($F:$F,Planilha1!B:E,4,0)</f>
        <v>3500</v>
      </c>
      <c r="I12" s="16">
        <v>119336.83</v>
      </c>
      <c r="J12" s="15">
        <f>Tabela17[[#This Row],[Entregas]]-1</f>
        <v>4</v>
      </c>
      <c r="K12" s="15">
        <f>VLOOKUP(Tabela17[[#This Row],[Equipamento]],Planilha1!$B$1:$C$8,2,0)</f>
        <v>2.6</v>
      </c>
      <c r="L12" s="17">
        <f>VLOOKUP(Tabela17[[#This Row],[Equipamento]],Planilha1!B:E,3,0)</f>
        <v>1088</v>
      </c>
      <c r="M12" s="18">
        <f>(Tabela17[[#This Row],[Custo Km]]*Tabela17[[#This Row],[Distância]])+(Tabela17[[#This Row],[Custo Saida]]*Tabela17[[#This Row],[Diaria]])+(Tabela17[[#This Row],[Custo Saida]])</f>
        <v>9368.3140000000003</v>
      </c>
      <c r="N12" s="19">
        <f>Tabela17[[#This Row],[Custo Total2]]/Tabela17[[#This Row],[Valor NF]]</f>
        <v>7.8503124307893885E-2</v>
      </c>
      <c r="O12" s="18">
        <f>Tabela17[[#This Row],[Custo Total2]]/Tabela17[[#This Row],[Peso Bruto]]</f>
        <v>3.2585502337482737</v>
      </c>
      <c r="P12" s="20">
        <f>Tabela17[[#This Row],[Peso Bruto]]/Tabela17[[#This Row],[Capacidade]]</f>
        <v>0.82142699999999991</v>
      </c>
      <c r="Q12" s="15"/>
    </row>
    <row r="13" spans="1:17">
      <c r="A13" s="14" t="s">
        <v>36</v>
      </c>
      <c r="B13" s="15">
        <v>4</v>
      </c>
      <c r="C13" s="22">
        <v>2939.4805000000001</v>
      </c>
      <c r="D13" s="22">
        <f>Tabela17[[#This Row],[Peso Bruto]]*(1-5%)</f>
        <v>2792.5064750000001</v>
      </c>
      <c r="E13" s="15">
        <v>431.7</v>
      </c>
      <c r="F13" s="15" t="s">
        <v>11</v>
      </c>
      <c r="G13" s="15"/>
      <c r="H13" s="15">
        <f>VLOOKUP($F:$F,Planilha1!B:E,4,0)</f>
        <v>3500</v>
      </c>
      <c r="I13" s="16">
        <v>132280.87</v>
      </c>
      <c r="J13" s="15">
        <f>Tabela17[[#This Row],[Entregas]]-1</f>
        <v>3</v>
      </c>
      <c r="K13" s="15">
        <f>VLOOKUP(Tabela17[[#This Row],[Equipamento]],Planilha1!$B$1:$C$8,2,0)</f>
        <v>2.6</v>
      </c>
      <c r="L13" s="17">
        <f>VLOOKUP(Tabela17[[#This Row],[Equipamento]],Planilha1!B:E,3,0)</f>
        <v>1088</v>
      </c>
      <c r="M13" s="18">
        <f>(Tabela17[[#This Row],[Custo Km]]*Tabela17[[#This Row],[Distância]])+(Tabela17[[#This Row],[Custo Saida]]*Tabela17[[#This Row],[Diaria]])+(Tabela17[[#This Row],[Custo Saida]])</f>
        <v>5474.42</v>
      </c>
      <c r="N13" s="19">
        <f>Tabela17[[#This Row],[Custo Total2]]/Tabela17[[#This Row],[Valor NF]]</f>
        <v>4.1384820042384057E-2</v>
      </c>
      <c r="O13" s="18">
        <f>Tabela17[[#This Row],[Custo Total2]]/Tabela17[[#This Row],[Peso Bruto]]</f>
        <v>1.8623767022778344</v>
      </c>
      <c r="P13" s="20">
        <f>Tabela17[[#This Row],[Peso Bruto]]/Tabela17[[#This Row],[Capacidade]]</f>
        <v>0.83985157142857148</v>
      </c>
      <c r="Q13" s="15"/>
    </row>
    <row r="14" spans="1:17">
      <c r="A14" s="14" t="s">
        <v>37</v>
      </c>
      <c r="B14" s="15">
        <v>4</v>
      </c>
      <c r="C14" s="22">
        <v>2999.8434999999999</v>
      </c>
      <c r="D14" s="22">
        <f>Tabela17[[#This Row],[Peso Bruto]]*(1-5%)</f>
        <v>2849.8513249999996</v>
      </c>
      <c r="E14" s="15">
        <v>959.41</v>
      </c>
      <c r="F14" s="15" t="s">
        <v>11</v>
      </c>
      <c r="G14" s="15"/>
      <c r="H14" s="15">
        <f>VLOOKUP($F:$F,Planilha1!B:E,4,0)</f>
        <v>3500</v>
      </c>
      <c r="I14" s="16">
        <v>166329.21</v>
      </c>
      <c r="J14" s="15">
        <f>Tabela17[[#This Row],[Entregas]]-1</f>
        <v>3</v>
      </c>
      <c r="K14" s="15">
        <f>VLOOKUP(Tabela17[[#This Row],[Equipamento]],Planilha1!$B$1:$C$8,2,0)</f>
        <v>2.6</v>
      </c>
      <c r="L14" s="17">
        <f>VLOOKUP(Tabela17[[#This Row],[Equipamento]],Planilha1!B:E,3,0)</f>
        <v>1088</v>
      </c>
      <c r="M14" s="18">
        <f>(Tabela17[[#This Row],[Custo Km]]*Tabela17[[#This Row],[Distância]])+(Tabela17[[#This Row],[Custo Saida]]*Tabela17[[#This Row],[Diaria]])+(Tabela17[[#This Row],[Custo Saida]])</f>
        <v>6846.4660000000003</v>
      </c>
      <c r="N14" s="19">
        <f>Tabela17[[#This Row],[Custo Total2]]/Tabela17[[#This Row],[Valor NF]]</f>
        <v>4.1162138628566811E-2</v>
      </c>
      <c r="O14" s="18">
        <f>Tabela17[[#This Row],[Custo Total2]]/Tabela17[[#This Row],[Peso Bruto]]</f>
        <v>2.2822743919807817</v>
      </c>
      <c r="P14" s="20">
        <f>Tabela17[[#This Row],[Peso Bruto]]/Tabela17[[#This Row],[Capacidade]]</f>
        <v>0.85709814285714281</v>
      </c>
      <c r="Q14" s="15"/>
    </row>
    <row r="15" spans="1:17">
      <c r="A15" s="14" t="s">
        <v>39</v>
      </c>
      <c r="B15" s="15">
        <v>2</v>
      </c>
      <c r="C15" s="22">
        <v>3141.0989999999997</v>
      </c>
      <c r="D15" s="22">
        <f>Tabela17[[#This Row],[Peso Bruto]]*(1-5%)</f>
        <v>2984.0440499999995</v>
      </c>
      <c r="E15" s="15">
        <v>54.04</v>
      </c>
      <c r="F15" s="15" t="s">
        <v>11</v>
      </c>
      <c r="G15" s="15"/>
      <c r="H15" s="15">
        <f>VLOOKUP($F:$F,Planilha1!B:E,4,0)</f>
        <v>3500</v>
      </c>
      <c r="I15" s="16">
        <v>35333</v>
      </c>
      <c r="J15" s="15">
        <f>Tabela17[[#This Row],[Entregas]]-1</f>
        <v>1</v>
      </c>
      <c r="K15" s="15">
        <f>VLOOKUP(Tabela17[[#This Row],[Equipamento]],Planilha1!$B$1:$C$8,2,0)</f>
        <v>2.6</v>
      </c>
      <c r="L15" s="17">
        <f>VLOOKUP(Tabela17[[#This Row],[Equipamento]],Planilha1!B:E,3,0)</f>
        <v>1088</v>
      </c>
      <c r="M15" s="18">
        <f>(Tabela17[[#This Row],[Custo Km]]*Tabela17[[#This Row],[Distância]])+(Tabela17[[#This Row],[Custo Saida]]*Tabela17[[#This Row],[Diaria]])+(Tabela17[[#This Row],[Custo Saida]])</f>
        <v>2316.5039999999999</v>
      </c>
      <c r="N15" s="19">
        <f>Tabela17[[#This Row],[Custo Total2]]/Tabela17[[#This Row],[Valor NF]]</f>
        <v>6.5562052472193127E-2</v>
      </c>
      <c r="O15" s="18">
        <f>Tabela17[[#This Row],[Custo Total2]]/Tabela17[[#This Row],[Peso Bruto]]</f>
        <v>0.73748200868549518</v>
      </c>
      <c r="P15" s="20">
        <f>Tabela17[[#This Row],[Peso Bruto]]/Tabela17[[#This Row],[Capacidade]]</f>
        <v>0.89745685714285706</v>
      </c>
      <c r="Q15" s="15"/>
    </row>
    <row r="16" spans="1:17">
      <c r="A16" s="14" t="s">
        <v>38</v>
      </c>
      <c r="B16" s="15">
        <v>3</v>
      </c>
      <c r="C16" s="22">
        <v>4123.9404999999997</v>
      </c>
      <c r="D16" s="22">
        <f>Tabela17[[#This Row],[Peso Bruto]]*(1-5%)</f>
        <v>3917.7434749999993</v>
      </c>
      <c r="E16" s="15">
        <v>39.56</v>
      </c>
      <c r="F16" s="15" t="s">
        <v>24</v>
      </c>
      <c r="G16" s="15"/>
      <c r="H16" s="15">
        <f>VLOOKUP($F:$F,Planilha1!B:E,4,0)</f>
        <v>5000</v>
      </c>
      <c r="I16" s="16">
        <v>122651.96</v>
      </c>
      <c r="J16" s="15">
        <f>Tabela17[[#This Row],[Entregas]]-1</f>
        <v>2</v>
      </c>
      <c r="K16" s="15">
        <f>VLOOKUP(Tabela17[[#This Row],[Equipamento]],Planilha1!$B$1:$C$8,2,0)</f>
        <v>2.75</v>
      </c>
      <c r="L16" s="17">
        <f>VLOOKUP(Tabela17[[#This Row],[Equipamento]],Planilha1!B:E,3,0)</f>
        <v>1000</v>
      </c>
      <c r="M16" s="18">
        <f>(Tabela17[[#This Row],[Custo Km]]*Tabela17[[#This Row],[Distância]])+(Tabela17[[#This Row],[Custo Saida]]*Tabela17[[#This Row],[Diaria]])+(Tabela17[[#This Row],[Custo Saida]])</f>
        <v>3108.79</v>
      </c>
      <c r="N16" s="19">
        <f>Tabela17[[#This Row],[Custo Total2]]/Tabela17[[#This Row],[Valor NF]]</f>
        <v>2.5346435556349852E-2</v>
      </c>
      <c r="O16" s="18">
        <f>Tabela17[[#This Row],[Custo Total2]]/Tabela17[[#This Row],[Peso Bruto]]</f>
        <v>0.75383968318650574</v>
      </c>
      <c r="P16" s="20">
        <f>Tabela17[[#This Row],[Peso Bruto]]/Tabela17[[#This Row],[Capacidade]]</f>
        <v>0.82478809999999991</v>
      </c>
      <c r="Q16" s="15"/>
    </row>
    <row r="17" spans="1:17">
      <c r="A17" s="14" t="s">
        <v>40</v>
      </c>
      <c r="B17" s="15">
        <v>4</v>
      </c>
      <c r="C17" s="22">
        <v>4285.7635</v>
      </c>
      <c r="D17" s="22">
        <f>Tabela17[[#This Row],[Peso Bruto]]*(1-5%)</f>
        <v>4071.4753249999999</v>
      </c>
      <c r="E17" s="15">
        <v>979.89</v>
      </c>
      <c r="F17" s="15" t="s">
        <v>24</v>
      </c>
      <c r="G17" s="15"/>
      <c r="H17" s="15">
        <f>VLOOKUP($F:$F,Planilha1!B:E,4,0)</f>
        <v>5000</v>
      </c>
      <c r="I17" s="16">
        <v>154141.93</v>
      </c>
      <c r="J17" s="15">
        <f>Tabela17[[#This Row],[Entregas]]-1</f>
        <v>3</v>
      </c>
      <c r="K17" s="15">
        <f>VLOOKUP(Tabela17[[#This Row],[Equipamento]],Planilha1!$B$1:$C$8,2,0)</f>
        <v>2.75</v>
      </c>
      <c r="L17" s="17">
        <f>VLOOKUP(Tabela17[[#This Row],[Equipamento]],Planilha1!B:E,3,0)</f>
        <v>1000</v>
      </c>
      <c r="M17" s="18">
        <f>(Tabela17[[#This Row],[Custo Km]]*Tabela17[[#This Row],[Distância]])+(Tabela17[[#This Row],[Custo Saida]]*Tabela17[[#This Row],[Diaria]])+(Tabela17[[#This Row],[Custo Saida]])</f>
        <v>6694.6975000000002</v>
      </c>
      <c r="N17" s="19">
        <f>Tabela17[[#This Row],[Custo Total2]]/Tabela17[[#This Row],[Valor NF]]</f>
        <v>4.3432033710749572E-2</v>
      </c>
      <c r="O17" s="18">
        <f>Tabela17[[#This Row],[Custo Total2]]/Tabela17[[#This Row],[Peso Bruto]]</f>
        <v>1.5620781454692962</v>
      </c>
      <c r="P17" s="20">
        <f>Tabela17[[#This Row],[Peso Bruto]]/Tabela17[[#This Row],[Capacidade]]</f>
        <v>0.85715269999999999</v>
      </c>
      <c r="Q17" s="15"/>
    </row>
    <row r="18" spans="1:17">
      <c r="A18" s="14" t="s">
        <v>41</v>
      </c>
      <c r="B18" s="15">
        <v>3</v>
      </c>
      <c r="C18" s="22">
        <v>4463.9645</v>
      </c>
      <c r="D18" s="22">
        <f>Tabela17[[#This Row],[Peso Bruto]]*(1-5%)</f>
        <v>4240.766275</v>
      </c>
      <c r="E18" s="15">
        <v>837.87</v>
      </c>
      <c r="F18" s="15" t="s">
        <v>24</v>
      </c>
      <c r="G18" s="15"/>
      <c r="H18" s="15">
        <f>VLOOKUP($F:$F,Planilha1!B:E,4,0)</f>
        <v>5000</v>
      </c>
      <c r="I18" s="16">
        <v>112913.14</v>
      </c>
      <c r="J18" s="15">
        <f>Tabela17[[#This Row],[Entregas]]-1</f>
        <v>2</v>
      </c>
      <c r="K18" s="15">
        <f>VLOOKUP(Tabela17[[#This Row],[Equipamento]],Planilha1!$B$1:$C$8,2,0)</f>
        <v>2.75</v>
      </c>
      <c r="L18" s="17">
        <f>VLOOKUP(Tabela17[[#This Row],[Equipamento]],Planilha1!B:E,3,0)</f>
        <v>1000</v>
      </c>
      <c r="M18" s="18">
        <f>(Tabela17[[#This Row],[Custo Km]]*Tabela17[[#This Row],[Distância]])+(Tabela17[[#This Row],[Custo Saida]]*Tabela17[[#This Row],[Diaria]])+(Tabela17[[#This Row],[Custo Saida]])</f>
        <v>5304.1424999999999</v>
      </c>
      <c r="N18" s="19">
        <f>Tabela17[[#This Row],[Custo Total2]]/Tabela17[[#This Row],[Valor NF]]</f>
        <v>4.6975422878152179E-2</v>
      </c>
      <c r="O18" s="18">
        <f>Tabela17[[#This Row],[Custo Total2]]/Tabela17[[#This Row],[Peso Bruto]]</f>
        <v>1.1882134143315879</v>
      </c>
      <c r="P18" s="20">
        <f>Tabela17[[#This Row],[Peso Bruto]]/Tabela17[[#This Row],[Capacidade]]</f>
        <v>0.8927929</v>
      </c>
      <c r="Q18" s="15"/>
    </row>
    <row r="19" spans="1:17">
      <c r="A19" s="14" t="s">
        <v>42</v>
      </c>
      <c r="B19" s="15">
        <v>4</v>
      </c>
      <c r="C19" s="22">
        <v>5342.3629999999994</v>
      </c>
      <c r="D19" s="22">
        <f>Tabela17[[#This Row],[Peso Bruto]]*(1-5%)</f>
        <v>5075.2448499999991</v>
      </c>
      <c r="E19" s="15">
        <v>277.39</v>
      </c>
      <c r="F19" s="15" t="s">
        <v>24</v>
      </c>
      <c r="G19" s="15"/>
      <c r="H19" s="15">
        <f>VLOOKUP($F:$F,Planilha1!B:E,4,0)</f>
        <v>5000</v>
      </c>
      <c r="I19" s="16">
        <v>104000</v>
      </c>
      <c r="J19" s="15">
        <f>Tabela17[[#This Row],[Entregas]]-1</f>
        <v>3</v>
      </c>
      <c r="K19" s="15">
        <f>VLOOKUP(Tabela17[[#This Row],[Equipamento]],Planilha1!$B$1:$C$8,2,0)</f>
        <v>2.75</v>
      </c>
      <c r="L19" s="17">
        <f>VLOOKUP(Tabela17[[#This Row],[Equipamento]],Planilha1!B:E,3,0)</f>
        <v>1000</v>
      </c>
      <c r="M19" s="18">
        <f>(Tabela17[[#This Row],[Custo Km]]*Tabela17[[#This Row],[Distância]])+(Tabela17[[#This Row],[Custo Saida]]*Tabela17[[#This Row],[Diaria]])+(Tabela17[[#This Row],[Custo Saida]])</f>
        <v>4762.8225000000002</v>
      </c>
      <c r="N19" s="19">
        <f>Tabela17[[#This Row],[Custo Total2]]/Tabela17[[#This Row],[Valor NF]]</f>
        <v>4.5796370192307694E-2</v>
      </c>
      <c r="O19" s="18">
        <f>Tabela17[[#This Row],[Custo Total2]]/Tabela17[[#This Row],[Peso Bruto]]</f>
        <v>0.89151981997479413</v>
      </c>
      <c r="P19" s="20">
        <f>Tabela17[[#This Row],[Peso Bruto]]/Tabela17[[#This Row],[Capacidade]]</f>
        <v>1.0684725999999998</v>
      </c>
      <c r="Q19" s="15"/>
    </row>
    <row r="20" spans="1:17">
      <c r="A20" s="14"/>
      <c r="B20" s="15"/>
      <c r="C20" s="22"/>
      <c r="D20" s="22"/>
      <c r="E20" s="15"/>
      <c r="F20" s="15"/>
      <c r="G20" s="15"/>
      <c r="H20" s="15"/>
      <c r="I20" s="15"/>
      <c r="J20" s="15"/>
      <c r="K20" s="15"/>
      <c r="L20" s="17"/>
      <c r="M20" s="15"/>
      <c r="N20" s="19"/>
      <c r="O20" s="15"/>
      <c r="P20" s="20"/>
      <c r="Q20" s="15"/>
    </row>
    <row r="21" spans="1:17">
      <c r="A21" s="14"/>
      <c r="B21" s="15"/>
      <c r="C21" s="22"/>
      <c r="D21" s="22"/>
      <c r="E21" s="15"/>
      <c r="F21" s="15"/>
      <c r="G21" s="15"/>
      <c r="H21" s="15"/>
      <c r="I21" s="15"/>
      <c r="J21" s="15"/>
      <c r="K21" s="15"/>
      <c r="L21" s="17"/>
      <c r="M21" s="15"/>
      <c r="N21" s="19"/>
      <c r="O21" s="15"/>
      <c r="P21" s="20"/>
    </row>
    <row r="22" spans="1:17">
      <c r="A22" s="14"/>
      <c r="B22" s="15"/>
      <c r="C22" s="22"/>
      <c r="D22" s="22"/>
      <c r="E22" s="15"/>
      <c r="F22" s="15"/>
      <c r="G22" s="15"/>
      <c r="H22" s="15"/>
      <c r="I22" s="15"/>
      <c r="J22" s="15"/>
      <c r="K22" s="15"/>
      <c r="L22" s="17"/>
      <c r="M22" s="15"/>
      <c r="N22" s="19"/>
      <c r="O22" s="15"/>
      <c r="P22" s="20"/>
    </row>
    <row r="23" spans="1:17">
      <c r="A23" s="14"/>
      <c r="B23" s="15"/>
      <c r="C23" s="22"/>
      <c r="D23" s="22"/>
      <c r="E23" s="15"/>
      <c r="F23" s="15"/>
      <c r="G23" s="15"/>
      <c r="H23" s="15"/>
      <c r="I23" s="15"/>
      <c r="J23" s="15"/>
      <c r="K23" s="15"/>
      <c r="L23" s="17"/>
      <c r="M23" s="15"/>
      <c r="N23" s="19"/>
      <c r="O23" s="15"/>
      <c r="P23" s="20"/>
    </row>
    <row r="24" spans="1:17">
      <c r="A24" s="14"/>
      <c r="B24" s="15"/>
      <c r="C24" s="22"/>
      <c r="D24" s="22"/>
      <c r="E24" s="15"/>
      <c r="F24" s="15"/>
      <c r="G24" s="15"/>
      <c r="H24" s="15"/>
      <c r="I24" s="15"/>
      <c r="J24" s="15"/>
      <c r="K24" s="15"/>
      <c r="L24" s="17"/>
      <c r="M24" s="15"/>
      <c r="N24" s="19"/>
      <c r="O24" s="15"/>
      <c r="P24" s="20"/>
    </row>
    <row r="25" spans="1:17">
      <c r="A25" s="14"/>
      <c r="B25" s="15"/>
      <c r="C25" s="22"/>
      <c r="D25" s="22"/>
      <c r="E25" s="15"/>
      <c r="F25" s="15"/>
      <c r="G25" s="15"/>
      <c r="H25" s="15"/>
      <c r="I25" s="15"/>
      <c r="J25" s="15"/>
      <c r="K25" s="15"/>
      <c r="L25" s="17"/>
      <c r="M25" s="15"/>
      <c r="N25" s="19"/>
      <c r="O25" s="15"/>
      <c r="P25" s="20"/>
    </row>
    <row r="26" spans="1:17">
      <c r="A26" s="14"/>
      <c r="B26" s="15"/>
      <c r="C26" s="22"/>
      <c r="D26" s="22"/>
      <c r="E26" s="15"/>
      <c r="F26" s="15"/>
      <c r="G26" s="15"/>
      <c r="H26" s="15"/>
      <c r="I26" s="15"/>
      <c r="J26" s="15"/>
      <c r="K26" s="15"/>
      <c r="L26" s="17"/>
      <c r="M26" s="15"/>
      <c r="N26" s="19"/>
      <c r="O26" s="15"/>
      <c r="P26" s="20"/>
    </row>
    <row r="27" spans="1:17">
      <c r="A27" s="14"/>
      <c r="B27" s="15"/>
      <c r="C27" s="22"/>
      <c r="D27" s="22"/>
      <c r="E27" s="15"/>
      <c r="F27" s="15"/>
      <c r="G27" s="15"/>
      <c r="H27" s="15"/>
      <c r="I27" s="15"/>
      <c r="J27" s="15"/>
      <c r="K27" s="15"/>
      <c r="L27" s="17"/>
      <c r="M27" s="15"/>
      <c r="N27" s="19"/>
      <c r="O27" s="15"/>
      <c r="P27" s="20"/>
    </row>
    <row r="28" spans="1:17">
      <c r="A28" s="14"/>
      <c r="B28" s="15"/>
      <c r="C28" s="22"/>
      <c r="D28" s="22"/>
      <c r="E28" s="15"/>
      <c r="F28" s="15"/>
      <c r="G28" s="15"/>
      <c r="H28" s="15"/>
      <c r="I28" s="15"/>
      <c r="J28" s="15"/>
      <c r="K28" s="15"/>
      <c r="L28" s="17"/>
      <c r="M28" s="15"/>
      <c r="N28" s="19"/>
      <c r="O28" s="15"/>
      <c r="P28" s="20"/>
    </row>
    <row r="29" spans="1:17">
      <c r="A29" s="14"/>
      <c r="B29" s="15"/>
      <c r="C29" s="22"/>
      <c r="D29" s="22"/>
      <c r="E29" s="15"/>
      <c r="F29" s="15"/>
      <c r="G29" s="15"/>
      <c r="H29" s="15"/>
      <c r="I29" s="15"/>
      <c r="J29" s="15"/>
      <c r="K29" s="15"/>
      <c r="L29" s="17"/>
      <c r="M29" s="15"/>
      <c r="N29" s="19"/>
      <c r="O29" s="15"/>
      <c r="P29" s="20"/>
    </row>
  </sheetData>
  <phoneticPr fontId="20" type="noConversion"/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7AA5A1D-06D9-46F1-9FD8-2DA600D442AE}">
          <x14:formula1>
            <xm:f>Planilha1!$B$2:$B$8</xm:f>
          </x14:formula1>
          <xm:sqref>F2:F19 G3:G19</xm:sqref>
        </x14:dataValidation>
        <x14:dataValidation type="list" allowBlank="1" showInputMessage="1" showErrorMessage="1" xr:uid="{10A6BE83-0E9E-42A7-AEF8-E5A1DE831749}">
          <x14:formula1>
            <xm:f>Planilha1!$A$8:$A$9</xm:f>
          </x14:formula1>
          <xm:sqref>G2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as1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Dos Santos Faustino</dc:creator>
  <cp:lastModifiedBy>Fabricio Dos Santos Faustino</cp:lastModifiedBy>
  <dcterms:created xsi:type="dcterms:W3CDTF">2025-06-13T18:16:55Z</dcterms:created>
  <dcterms:modified xsi:type="dcterms:W3CDTF">2026-02-09T17:14:45Z</dcterms:modified>
</cp:coreProperties>
</file>